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8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9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2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3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4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5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updateLinks="never"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ufe0\Google Drive\Doctorate_LuisaV2\APPLIES\Assessment instrument\"/>
    </mc:Choice>
  </mc:AlternateContent>
  <bookViews>
    <workbookView xWindow="0" yWindow="0" windowWidth="7470" windowHeight="6750" tabRatio="702" activeTab="2" xr2:uid="{00000000-000D-0000-FFFF-FFFF00000000}"/>
  </bookViews>
  <sheets>
    <sheet name="Motiv inst" sheetId="37" r:id="rId1"/>
    <sheet name="1.Motiv instFistV" sheetId="29" state="hidden" r:id="rId2"/>
    <sheet name="AssessInstr" sheetId="21" r:id="rId3"/>
    <sheet name="Preparation grid" sheetId="35" r:id="rId4"/>
    <sheet name="PerfByDimension" sheetId="43" r:id="rId5"/>
    <sheet name="SummaryMatrix" sheetId="25" state="hidden" r:id="rId6"/>
    <sheet name="Data" sheetId="36" r:id="rId7"/>
  </sheets>
  <functionGroups builtInGroupCount="19"/>
  <externalReferences>
    <externalReference r:id="rId8"/>
  </externalReferences>
  <definedNames>
    <definedName name="_xlnm._FilterDatabase" localSheetId="5" hidden="1">SummaryMatrix!$A$14:$C$14</definedName>
    <definedName name="ImporOper">AssessInstr!$W$5,AssessInstr!$W$8,AssessInstr!$W$13,AssessInstr!$W$17,AssessInstr!$W$25,AssessInstr!$W$32,AssessInstr!$W$36,AssessInstr!$W$41,AssessInstr!$W$45,AssessInstr!$W$50</definedName>
    <definedName name="imporTec">AssessInstr!$W$55,AssessInstr!$W$59,AssessInstr!$W$67,AssessInstr!$W$75</definedName>
    <definedName name="importEcom">AssessInstr!$W$82,AssessInstr!$W$85,AssessInstr!$W$88</definedName>
    <definedName name="impSComm">AssessInstr!$N$6:$N$7</definedName>
    <definedName name="impSComVar">AssessInstr!$N$56:$N$58</definedName>
    <definedName name="impSCust">AssessInstr!$N$9:$N$12</definedName>
    <definedName name="impSDegree">AssessInstr!$N$14:$N$16</definedName>
    <definedName name="impSDomK">AssessInstr!$N$18:$N$24</definedName>
    <definedName name="impSEcon">AssessInstr!$N$83:$N$84</definedName>
    <definedName name="impSInvest">AssessInstr!$N$86:$N$87</definedName>
    <definedName name="impSMarket">AssessInstr!$N$26:$N$31</definedName>
    <definedName name="impSOpen">AssessInstr!$N$33:$N$35</definedName>
    <definedName name="impSOrgan">AssessInstr!$N$37:$N$40</definedName>
    <definedName name="impSPLAw">AssessInstr!$N$51:$N$53</definedName>
    <definedName name="impSPotPro">AssessInstr!$N$42:$N$44</definedName>
    <definedName name="impSProcess">AssessInstr!$N$46:$N$49</definedName>
    <definedName name="impSReuseApt">AssessInstr!$N$60:$N$66</definedName>
    <definedName name="impSReusePot">AssessInstr!$N$68:$N$74</definedName>
    <definedName name="impSSofEng">AssessInstr!$N$76:$N$80</definedName>
    <definedName name="impStaMig">AssessInstr!$N$89:$N$90</definedName>
    <definedName name="PLAwareness">AssessInstr!$Q$51:$Q$53</definedName>
    <definedName name="statAnswCom">AssessInstr!$K$6:$K$7</definedName>
    <definedName name="statAnswCommVar">AssessInstr!$K$56:$K$58</definedName>
    <definedName name="statAnswContr">AssessInstr!$K$14:$K$16</definedName>
    <definedName name="statAnswCust">AssessInstr!$K$9:$K$12</definedName>
    <definedName name="statAnswDomKnow">AssessInstr!$K$18:$K$24</definedName>
    <definedName name="statAnswEconInd">AssessInstr!$K$83:$K$84</definedName>
    <definedName name="statAnswInvest">AssessInstr!$K$86:$K$87</definedName>
    <definedName name="statAnswMarkPot">AssessInstr!$K$26:$K$31</definedName>
    <definedName name="statAnswMig">AssessInstr!$K$89:$K$90</definedName>
    <definedName name="statAnswOpen">AssessInstr!$K$33:$K$35</definedName>
    <definedName name="statAnswOrgPrep">AssessInstr!$K$37:$K$40</definedName>
    <definedName name="statAnswPLAwa">AssessInstr!$K$51:$K$53</definedName>
    <definedName name="statAnswPotProd">AssessInstr!$K$42:$K$44</definedName>
    <definedName name="statAnswProcDisc">AssessInstr!$K$46:$K$49</definedName>
    <definedName name="statAnswReuseApt">AssessInstr!$K$60:$K$66</definedName>
    <definedName name="statAnswReusePot">AssessInstr!$K$68:$K$74</definedName>
    <definedName name="statAnswSECap">AssessInstr!$K$76:$K$80</definedName>
    <definedName name="statComm">AssessInstr!$Q$6:$Q$7</definedName>
    <definedName name="statComVar">AssessInstr!$Q$56:$Q$58</definedName>
    <definedName name="statCust">AssessInstr!$Q$9:$Q$12</definedName>
    <definedName name="statDegree">AssessInstr!$Q$14:$Q$16</definedName>
    <definedName name="statDomain">AssessInstr!$Q$18:$Q$24</definedName>
    <definedName name="statEcon">AssessInstr!$Q$83:$Q$84</definedName>
    <definedName name="statInvest">AssessInstr!$Q$86:$Q$87</definedName>
    <definedName name="statMark">AssessInstr!$Q$26:$Q$31</definedName>
    <definedName name="statMigr">AssessInstr!$Q$89:$Q$90</definedName>
    <definedName name="statOpen">AssessInstr!$Q$33:$Q$35</definedName>
    <definedName name="statOrganiz">AssessInstr!$Q$37:$Q$40</definedName>
    <definedName name="statPLAwar">AssessInstr!$Q$51:$Q$53</definedName>
    <definedName name="statPotPro">AssessInstr!$Q$42:$Q$44</definedName>
    <definedName name="statProc">AssessInstr!$Q$46:$Q$49</definedName>
    <definedName name="statReuseApt">AssessInstr!$Q$60:$Q$66</definedName>
    <definedName name="statReusePot">AssessInstr!$Q$68:$Q$74</definedName>
    <definedName name="statSoftEng">AssessInstr!$Q$76:$Q$80</definedName>
    <definedName name="TablaDin">'Preparation grid'!$Z$3:$AD$20</definedName>
  </definedNames>
  <calcPr calcId="171027"/>
  <fileRecoveryPr autoRecover="0"/>
</workbook>
</file>

<file path=xl/calcChain.xml><?xml version="1.0" encoding="utf-8"?>
<calcChain xmlns="http://schemas.openxmlformats.org/spreadsheetml/2006/main">
  <c r="C6" i="36" l="1"/>
  <c r="AR5" i="37" l="1"/>
  <c r="C5" i="36" l="1"/>
  <c r="S8" i="37" s="1"/>
  <c r="H14" i="37"/>
  <c r="H13" i="37"/>
  <c r="H12" i="37"/>
  <c r="H11" i="37"/>
  <c r="H10" i="37"/>
  <c r="H9" i="37"/>
  <c r="H6" i="37"/>
  <c r="H5" i="37"/>
  <c r="H4" i="37"/>
  <c r="AR7" i="37" l="1"/>
  <c r="AR6" i="37"/>
  <c r="AQ12" i="37" s="1"/>
  <c r="AQ11" i="37"/>
  <c r="AR4" i="37"/>
  <c r="AQ10" i="37" s="1"/>
  <c r="P15" i="37"/>
  <c r="P3" i="37"/>
  <c r="G8" i="37"/>
  <c r="G3" i="37"/>
  <c r="AQ4" i="37" s="1"/>
  <c r="AP10" i="37" s="1"/>
  <c r="AQ13" i="37" l="1"/>
  <c r="AR8" i="37"/>
  <c r="AU7" i="37" s="1"/>
  <c r="AR10" i="37"/>
  <c r="C4" i="36"/>
  <c r="S3" i="37" s="1"/>
  <c r="C3" i="36"/>
  <c r="C2" i="36"/>
  <c r="D1" i="35" s="1"/>
  <c r="I317" i="25"/>
  <c r="H317" i="25"/>
  <c r="H316" i="25"/>
  <c r="I316" i="25" s="1"/>
  <c r="I315" i="25"/>
  <c r="H315" i="25"/>
  <c r="H314" i="25"/>
  <c r="I314" i="25" s="1"/>
  <c r="I313" i="25"/>
  <c r="H313" i="25"/>
  <c r="H312" i="25"/>
  <c r="I312" i="25" s="1"/>
  <c r="I311" i="25"/>
  <c r="H311" i="25"/>
  <c r="H308" i="25"/>
  <c r="I308" i="25" s="1"/>
  <c r="I307" i="25"/>
  <c r="H307" i="25"/>
  <c r="H306" i="25"/>
  <c r="I306" i="25" s="1"/>
  <c r="I305" i="25"/>
  <c r="H305" i="25"/>
  <c r="H304" i="25"/>
  <c r="I304" i="25" s="1"/>
  <c r="I303" i="25"/>
  <c r="H303" i="25"/>
  <c r="H302" i="25"/>
  <c r="I302" i="25" s="1"/>
  <c r="I301" i="25"/>
  <c r="H301" i="25"/>
  <c r="H300" i="25"/>
  <c r="I300" i="25" s="1"/>
  <c r="J300" i="25" s="1"/>
  <c r="H297" i="25"/>
  <c r="I297" i="25" s="1"/>
  <c r="H296" i="25"/>
  <c r="I296" i="25" s="1"/>
  <c r="H295" i="25"/>
  <c r="I295" i="25" s="1"/>
  <c r="H294" i="25"/>
  <c r="I294" i="25" s="1"/>
  <c r="H293" i="25"/>
  <c r="I293" i="25" s="1"/>
  <c r="H292" i="25"/>
  <c r="I292" i="25" s="1"/>
  <c r="H291" i="25"/>
  <c r="I291" i="25" s="1"/>
  <c r="I290" i="25"/>
  <c r="J290" i="25" s="1"/>
  <c r="H290" i="25"/>
  <c r="F8" i="25"/>
  <c r="E8" i="25"/>
  <c r="G8" i="25" s="1"/>
  <c r="J8" i="25" s="1"/>
  <c r="D8" i="25"/>
  <c r="I8" i="25" s="1"/>
  <c r="C8" i="25"/>
  <c r="H8" i="25" s="1"/>
  <c r="B8" i="25"/>
  <c r="F7" i="25"/>
  <c r="E7" i="25"/>
  <c r="C7" i="25"/>
  <c r="H7" i="25" s="1"/>
  <c r="B7" i="25"/>
  <c r="F6" i="25"/>
  <c r="E6" i="25"/>
  <c r="C6" i="25"/>
  <c r="H6" i="25" s="1"/>
  <c r="B6" i="25"/>
  <c r="F5" i="25"/>
  <c r="E5" i="25"/>
  <c r="C5" i="25"/>
  <c r="H5" i="25" s="1"/>
  <c r="B5" i="25"/>
  <c r="F4" i="25"/>
  <c r="E4" i="25"/>
  <c r="C4" i="25"/>
  <c r="H4" i="25" s="1"/>
  <c r="B4" i="25"/>
  <c r="F3" i="25"/>
  <c r="E3" i="25"/>
  <c r="C3" i="25"/>
  <c r="H3" i="25" s="1"/>
  <c r="B3" i="25"/>
  <c r="F2" i="25"/>
  <c r="E2" i="25"/>
  <c r="C2" i="25"/>
  <c r="H2" i="25" s="1"/>
  <c r="B2" i="25"/>
  <c r="Z49" i="35"/>
  <c r="Z48" i="35"/>
  <c r="AB48" i="35" s="1"/>
  <c r="AB47" i="35"/>
  <c r="AA47" i="35"/>
  <c r="Z47" i="35"/>
  <c r="AC46" i="35"/>
  <c r="AB46" i="35"/>
  <c r="AA46" i="35"/>
  <c r="AB20" i="35"/>
  <c r="AA20" i="35"/>
  <c r="AA45" i="35" s="1"/>
  <c r="Z20" i="35"/>
  <c r="AB19" i="35"/>
  <c r="AA19" i="35"/>
  <c r="AA44" i="35" s="1"/>
  <c r="AC44" i="35" s="1"/>
  <c r="Z19" i="35"/>
  <c r="AB18" i="35"/>
  <c r="AA18" i="35"/>
  <c r="AA43" i="35" s="1"/>
  <c r="AB43" i="35" s="1"/>
  <c r="Z18" i="35"/>
  <c r="AB17" i="35"/>
  <c r="AA17" i="35"/>
  <c r="Z17" i="35"/>
  <c r="AB16" i="35"/>
  <c r="AA16" i="35"/>
  <c r="Z16" i="35"/>
  <c r="AB15" i="35"/>
  <c r="AA15" i="35"/>
  <c r="Z15" i="35"/>
  <c r="AB14" i="35"/>
  <c r="AA14" i="35"/>
  <c r="Z14" i="35"/>
  <c r="AB13" i="35"/>
  <c r="AA13" i="35"/>
  <c r="Z13" i="35"/>
  <c r="AB12" i="35"/>
  <c r="AA12" i="35"/>
  <c r="Z12" i="35"/>
  <c r="AB11" i="35"/>
  <c r="AA11" i="35"/>
  <c r="Z11" i="35"/>
  <c r="AB10" i="35"/>
  <c r="AA10" i="35"/>
  <c r="Z10" i="35"/>
  <c r="AB9" i="35"/>
  <c r="AA9" i="35"/>
  <c r="Z9" i="35"/>
  <c r="AB8" i="35"/>
  <c r="AA8" i="35"/>
  <c r="Z8" i="35"/>
  <c r="AB7" i="35"/>
  <c r="AA7" i="35"/>
  <c r="Z7" i="35"/>
  <c r="AB6" i="35"/>
  <c r="AA6" i="35"/>
  <c r="AA32" i="35" s="1"/>
  <c r="Z6" i="35"/>
  <c r="AB5" i="35"/>
  <c r="AA5" i="35"/>
  <c r="AA31" i="35" s="1"/>
  <c r="AB31" i="35" s="1"/>
  <c r="Z5" i="35"/>
  <c r="AB4" i="35"/>
  <c r="AA4" i="35"/>
  <c r="AA30" i="35" s="1"/>
  <c r="AC30" i="35" s="1"/>
  <c r="Z4" i="35"/>
  <c r="P90" i="21"/>
  <c r="N90" i="21"/>
  <c r="P89" i="21"/>
  <c r="N89" i="21"/>
  <c r="W88" i="21"/>
  <c r="T88" i="21"/>
  <c r="V88" i="21" s="1"/>
  <c r="AC6" i="35" s="1"/>
  <c r="E88" i="21"/>
  <c r="P87" i="21"/>
  <c r="N87" i="21"/>
  <c r="P86" i="21"/>
  <c r="N86" i="21"/>
  <c r="W85" i="21"/>
  <c r="T85" i="21"/>
  <c r="U85" i="21" s="1"/>
  <c r="AE4" i="35" s="1"/>
  <c r="E85" i="21"/>
  <c r="P84" i="21"/>
  <c r="N84" i="21"/>
  <c r="P83" i="21"/>
  <c r="N83" i="21"/>
  <c r="W82" i="21"/>
  <c r="T82" i="21"/>
  <c r="V82" i="21" s="1"/>
  <c r="AC5" i="35" s="1"/>
  <c r="E82" i="21"/>
  <c r="A81" i="21"/>
  <c r="P80" i="21"/>
  <c r="N80" i="21"/>
  <c r="P79" i="21"/>
  <c r="N79" i="21"/>
  <c r="P78" i="21"/>
  <c r="N78" i="21"/>
  <c r="P77" i="21"/>
  <c r="N77" i="21"/>
  <c r="P76" i="21"/>
  <c r="N76" i="21"/>
  <c r="W75" i="21"/>
  <c r="T75" i="21"/>
  <c r="V75" i="21" s="1"/>
  <c r="AC18" i="35" s="1"/>
  <c r="E75" i="21"/>
  <c r="P74" i="21"/>
  <c r="N74" i="21"/>
  <c r="P73" i="21"/>
  <c r="N73" i="21"/>
  <c r="P72" i="21"/>
  <c r="N72" i="21"/>
  <c r="P71" i="21"/>
  <c r="N71" i="21"/>
  <c r="P70" i="21"/>
  <c r="N70" i="21"/>
  <c r="P69" i="21"/>
  <c r="N69" i="21"/>
  <c r="P68" i="21"/>
  <c r="N68" i="21"/>
  <c r="W67" i="21"/>
  <c r="T67" i="21"/>
  <c r="E67" i="21"/>
  <c r="P66" i="21"/>
  <c r="N66" i="21"/>
  <c r="P65" i="21"/>
  <c r="N65" i="21"/>
  <c r="P64" i="21"/>
  <c r="N64" i="21"/>
  <c r="P63" i="21"/>
  <c r="N63" i="21"/>
  <c r="P62" i="21"/>
  <c r="N62" i="21"/>
  <c r="P61" i="21"/>
  <c r="N61" i="21"/>
  <c r="P60" i="21"/>
  <c r="N60" i="21"/>
  <c r="W59" i="21"/>
  <c r="T59" i="21"/>
  <c r="V59" i="21" s="1"/>
  <c r="AC20" i="35" s="1"/>
  <c r="E59" i="21"/>
  <c r="P58" i="21"/>
  <c r="N58" i="21"/>
  <c r="P57" i="21"/>
  <c r="N57" i="21"/>
  <c r="P56" i="21"/>
  <c r="N56" i="21"/>
  <c r="W55" i="21"/>
  <c r="T55" i="21"/>
  <c r="V55" i="21" s="1"/>
  <c r="AC17" i="35" s="1"/>
  <c r="E55" i="21"/>
  <c r="A54" i="21"/>
  <c r="P53" i="21"/>
  <c r="N53" i="21"/>
  <c r="P52" i="21"/>
  <c r="N52" i="21"/>
  <c r="P51" i="21"/>
  <c r="N51" i="21"/>
  <c r="W50" i="21"/>
  <c r="T50" i="21"/>
  <c r="V50" i="21" s="1"/>
  <c r="AC13" i="35" s="1"/>
  <c r="E50" i="21"/>
  <c r="P49" i="21"/>
  <c r="N49" i="21"/>
  <c r="P48" i="21"/>
  <c r="N48" i="21"/>
  <c r="P47" i="21"/>
  <c r="N47" i="21"/>
  <c r="P46" i="21"/>
  <c r="N46" i="21"/>
  <c r="W45" i="21"/>
  <c r="T45" i="21"/>
  <c r="U45" i="21" s="1"/>
  <c r="AE9" i="35" s="1"/>
  <c r="E45" i="21"/>
  <c r="P44" i="21"/>
  <c r="N44" i="21"/>
  <c r="P43" i="21"/>
  <c r="N43" i="21"/>
  <c r="P42" i="21"/>
  <c r="N42" i="21"/>
  <c r="W41" i="21"/>
  <c r="T41" i="21"/>
  <c r="U41" i="21" s="1"/>
  <c r="AE15" i="35" s="1"/>
  <c r="E41" i="21"/>
  <c r="P40" i="21"/>
  <c r="N40" i="21"/>
  <c r="P39" i="21"/>
  <c r="N39" i="21"/>
  <c r="P38" i="21"/>
  <c r="N38" i="21"/>
  <c r="P37" i="21"/>
  <c r="N37" i="21"/>
  <c r="W36" i="21"/>
  <c r="T36" i="21"/>
  <c r="U36" i="21" s="1"/>
  <c r="AE12" i="35" s="1"/>
  <c r="E36" i="21"/>
  <c r="P35" i="21"/>
  <c r="N35" i="21"/>
  <c r="P34" i="21"/>
  <c r="N34" i="21"/>
  <c r="P33" i="21"/>
  <c r="N33" i="21"/>
  <c r="W32" i="21"/>
  <c r="T32" i="21"/>
  <c r="U32" i="21" s="1"/>
  <c r="AE7" i="35" s="1"/>
  <c r="E32" i="21"/>
  <c r="P31" i="21"/>
  <c r="N31" i="21"/>
  <c r="P30" i="21"/>
  <c r="N30" i="21"/>
  <c r="P29" i="21"/>
  <c r="N29" i="21"/>
  <c r="P28" i="21"/>
  <c r="N28" i="21"/>
  <c r="P27" i="21"/>
  <c r="N27" i="21"/>
  <c r="P26" i="21"/>
  <c r="N26" i="21"/>
  <c r="W25" i="21"/>
  <c r="T25" i="21"/>
  <c r="U25" i="21" s="1"/>
  <c r="AE11" i="35" s="1"/>
  <c r="E25" i="21"/>
  <c r="P24" i="21"/>
  <c r="N24" i="21"/>
  <c r="P23" i="21"/>
  <c r="N23" i="21"/>
  <c r="P22" i="21"/>
  <c r="N22" i="21"/>
  <c r="P21" i="21"/>
  <c r="N21" i="21"/>
  <c r="P20" i="21"/>
  <c r="N20" i="21"/>
  <c r="P19" i="21"/>
  <c r="N19" i="21"/>
  <c r="P18" i="21"/>
  <c r="N18" i="21"/>
  <c r="W17" i="21"/>
  <c r="T17" i="21"/>
  <c r="U17" i="21" s="1"/>
  <c r="AE8" i="35" s="1"/>
  <c r="E17" i="21"/>
  <c r="P16" i="21"/>
  <c r="N16" i="21"/>
  <c r="P15" i="21"/>
  <c r="N15" i="21"/>
  <c r="P14" i="21"/>
  <c r="N14" i="21"/>
  <c r="W13" i="21"/>
  <c r="T13" i="21"/>
  <c r="U13" i="21" s="1"/>
  <c r="AE14" i="35" s="1"/>
  <c r="E13" i="21"/>
  <c r="P12" i="21"/>
  <c r="N12" i="21"/>
  <c r="P11" i="21"/>
  <c r="N11" i="21"/>
  <c r="P10" i="21"/>
  <c r="N10" i="21"/>
  <c r="P9" i="21"/>
  <c r="N9" i="21"/>
  <c r="W8" i="21"/>
  <c r="T8" i="21"/>
  <c r="U8" i="21" s="1"/>
  <c r="AE16" i="35" s="1"/>
  <c r="P7" i="21"/>
  <c r="N7" i="21"/>
  <c r="P6" i="21"/>
  <c r="N6" i="21"/>
  <c r="W5" i="21"/>
  <c r="T5" i="21"/>
  <c r="U5" i="21" s="1"/>
  <c r="AE10" i="35" s="1"/>
  <c r="A4" i="21"/>
  <c r="C32" i="29"/>
  <c r="C28" i="29"/>
  <c r="C23" i="29"/>
  <c r="AD8" i="29" s="1"/>
  <c r="C19" i="29"/>
  <c r="AE10" i="29"/>
  <c r="AD10" i="29"/>
  <c r="AC10" i="29"/>
  <c r="AB10" i="29"/>
  <c r="C10" i="29"/>
  <c r="AE9" i="29"/>
  <c r="AD9" i="29"/>
  <c r="AB9" i="29"/>
  <c r="AE8" i="29"/>
  <c r="AB8" i="29"/>
  <c r="AE7" i="29"/>
  <c r="AD7" i="29"/>
  <c r="AB7" i="29"/>
  <c r="AE6" i="29"/>
  <c r="AC6" i="29" s="1"/>
  <c r="AD6" i="29"/>
  <c r="AB6" i="29"/>
  <c r="AE5" i="29"/>
  <c r="AD5" i="29"/>
  <c r="AB5" i="29"/>
  <c r="C4" i="29"/>
  <c r="AQ5" i="37"/>
  <c r="AO7" i="37"/>
  <c r="AO6" i="37"/>
  <c r="AO5" i="37"/>
  <c r="AO4" i="37"/>
  <c r="AQ6" i="37"/>
  <c r="AP12" i="37" s="1"/>
  <c r="AR12" i="37" s="1"/>
  <c r="O84" i="21" l="1"/>
  <c r="Q84" i="21" s="1"/>
  <c r="AP11" i="37"/>
  <c r="AR11" i="37" s="1"/>
  <c r="AQ8" i="37"/>
  <c r="AO13" i="37"/>
  <c r="AT7" i="37"/>
  <c r="AO12" i="37"/>
  <c r="AT6" i="37"/>
  <c r="AO10" i="37"/>
  <c r="AT4" i="37"/>
  <c r="AO11" i="37"/>
  <c r="AT5" i="37"/>
  <c r="AU5" i="37"/>
  <c r="AU6" i="37"/>
  <c r="AU4" i="37"/>
  <c r="AS8" i="37"/>
  <c r="G5" i="25"/>
  <c r="J5" i="25" s="1"/>
  <c r="G7" i="25"/>
  <c r="J7" i="25" s="1"/>
  <c r="AA37" i="35"/>
  <c r="Y88" i="21"/>
  <c r="O34" i="21"/>
  <c r="Q34" i="21" s="1"/>
  <c r="O56" i="21"/>
  <c r="Q56" i="21" s="1"/>
  <c r="AC77" i="21"/>
  <c r="O10" i="21"/>
  <c r="Q10" i="21" s="1"/>
  <c r="O64" i="21"/>
  <c r="Q64" i="21" s="1"/>
  <c r="O78" i="21"/>
  <c r="Q78" i="21" s="1"/>
  <c r="O7" i="21"/>
  <c r="Q7" i="21" s="1"/>
  <c r="O76" i="21"/>
  <c r="Q76" i="21" s="1"/>
  <c r="Y85" i="21"/>
  <c r="O89" i="21"/>
  <c r="Q89" i="21" s="1"/>
  <c r="G2" i="25"/>
  <c r="J2" i="25" s="1"/>
  <c r="O18" i="21"/>
  <c r="Q18" i="21" s="1"/>
  <c r="O42" i="21"/>
  <c r="Q42" i="21" s="1"/>
  <c r="O68" i="21"/>
  <c r="Q68" i="21" s="1"/>
  <c r="O70" i="21"/>
  <c r="Q70" i="21" s="1"/>
  <c r="O72" i="21"/>
  <c r="Q72" i="21" s="1"/>
  <c r="O74" i="21"/>
  <c r="Q74" i="21" s="1"/>
  <c r="Y82" i="21"/>
  <c r="O86" i="21"/>
  <c r="Q86" i="21" s="1"/>
  <c r="O63" i="21"/>
  <c r="Q63" i="21" s="1"/>
  <c r="AA33" i="35"/>
  <c r="AA41" i="35"/>
  <c r="O53" i="21"/>
  <c r="Q53" i="21" s="1"/>
  <c r="O71" i="21"/>
  <c r="Q71" i="21" s="1"/>
  <c r="V85" i="21"/>
  <c r="AC4" i="35" s="1"/>
  <c r="V5" i="21"/>
  <c r="V8" i="21"/>
  <c r="V13" i="21"/>
  <c r="O22" i="21"/>
  <c r="Q22" i="21" s="1"/>
  <c r="V25" i="21"/>
  <c r="AC11" i="35" s="1"/>
  <c r="V32" i="21"/>
  <c r="AC7" i="35" s="1"/>
  <c r="Z26" i="35" s="1"/>
  <c r="V45" i="21"/>
  <c r="AC9" i="35" s="1"/>
  <c r="O49" i="21"/>
  <c r="Q49" i="21" s="1"/>
  <c r="U50" i="21"/>
  <c r="AE13" i="35" s="1"/>
  <c r="O57" i="21"/>
  <c r="Q57" i="21" s="1"/>
  <c r="U75" i="21"/>
  <c r="AE18" i="35" s="1"/>
  <c r="U82" i="21"/>
  <c r="AE5" i="35" s="1"/>
  <c r="O83" i="21"/>
  <c r="Q83" i="21" s="1"/>
  <c r="O87" i="21"/>
  <c r="Q87" i="21" s="1"/>
  <c r="U88" i="21"/>
  <c r="AE6" i="35" s="1"/>
  <c r="O90" i="21"/>
  <c r="Q90" i="21" s="1"/>
  <c r="AA42" i="35"/>
  <c r="AB30" i="35"/>
  <c r="G6" i="25"/>
  <c r="J6" i="25" s="1"/>
  <c r="AA35" i="35"/>
  <c r="AA36" i="35"/>
  <c r="AA38" i="35"/>
  <c r="AA39" i="35"/>
  <c r="AB39" i="35" s="1"/>
  <c r="AA40" i="35"/>
  <c r="G3" i="25"/>
  <c r="J3" i="25" s="1"/>
  <c r="G4" i="25"/>
  <c r="J4" i="25" s="1"/>
  <c r="Y5" i="21"/>
  <c r="Y13" i="21"/>
  <c r="O62" i="21"/>
  <c r="Q62" i="21" s="1"/>
  <c r="O69" i="21"/>
  <c r="Q69" i="21" s="1"/>
  <c r="O73" i="21"/>
  <c r="Q73" i="21" s="1"/>
  <c r="O16" i="21"/>
  <c r="Q16" i="21" s="1"/>
  <c r="V17" i="21"/>
  <c r="AC8" i="35" s="1"/>
  <c r="O28" i="21"/>
  <c r="Q28" i="21" s="1"/>
  <c r="V36" i="21"/>
  <c r="AC12" i="35" s="1"/>
  <c r="O40" i="21"/>
  <c r="Q40" i="21" s="1"/>
  <c r="V41" i="21"/>
  <c r="AC15" i="35" s="1"/>
  <c r="O46" i="21"/>
  <c r="Q46" i="21" s="1"/>
  <c r="O58" i="21"/>
  <c r="Q58" i="21" s="1"/>
  <c r="AA34" i="35"/>
  <c r="AB34" i="35" s="1"/>
  <c r="AP4" i="37"/>
  <c r="AP5" i="37"/>
  <c r="F4" i="29"/>
  <c r="AP6" i="37"/>
  <c r="Y25" i="21"/>
  <c r="Y45" i="21"/>
  <c r="AC5" i="29"/>
  <c r="O9" i="21"/>
  <c r="Q9" i="21" s="1"/>
  <c r="O27" i="21"/>
  <c r="Q27" i="21" s="1"/>
  <c r="O33" i="21"/>
  <c r="Q33" i="21" s="1"/>
  <c r="O21" i="21"/>
  <c r="Q21" i="21" s="1"/>
  <c r="O31" i="21"/>
  <c r="Q31" i="21" s="1"/>
  <c r="O39" i="21"/>
  <c r="Q39" i="21" s="1"/>
  <c r="Y17" i="21"/>
  <c r="O20" i="21"/>
  <c r="Q20" i="21" s="1"/>
  <c r="O26" i="21"/>
  <c r="Q26" i="21" s="1"/>
  <c r="O30" i="21"/>
  <c r="Q30" i="21" s="1"/>
  <c r="O38" i="21"/>
  <c r="Q38" i="21" s="1"/>
  <c r="Y41" i="21"/>
  <c r="O44" i="21"/>
  <c r="Q44" i="21" s="1"/>
  <c r="Y50" i="21"/>
  <c r="AC9" i="29"/>
  <c r="E5" i="21"/>
  <c r="O15" i="21"/>
  <c r="Q15" i="21" s="1"/>
  <c r="Y36" i="21"/>
  <c r="Y75" i="21"/>
  <c r="Y55" i="21"/>
  <c r="Y59" i="21"/>
  <c r="V67" i="21"/>
  <c r="AC19" i="35" s="1"/>
  <c r="U67" i="21"/>
  <c r="AE19" i="35" s="1"/>
  <c r="AC8" i="29"/>
  <c r="O6" i="21"/>
  <c r="Q6" i="21" s="1"/>
  <c r="O12" i="21"/>
  <c r="Q12" i="21" s="1"/>
  <c r="O14" i="21"/>
  <c r="Q14" i="21" s="1"/>
  <c r="O24" i="21"/>
  <c r="Q24" i="21" s="1"/>
  <c r="AC7" i="29"/>
  <c r="Y8" i="21"/>
  <c r="O11" i="21"/>
  <c r="Q11" i="21" s="1"/>
  <c r="O19" i="21"/>
  <c r="Q19" i="21" s="1"/>
  <c r="O23" i="21"/>
  <c r="Q23" i="21" s="1"/>
  <c r="O29" i="21"/>
  <c r="Q29" i="21" s="1"/>
  <c r="Y32" i="21"/>
  <c r="O35" i="21"/>
  <c r="Q35" i="21" s="1"/>
  <c r="O37" i="21"/>
  <c r="Q37" i="21" s="1"/>
  <c r="O43" i="21"/>
  <c r="Q43" i="21" s="1"/>
  <c r="Y67" i="21"/>
  <c r="O66" i="21"/>
  <c r="Q66" i="21" s="1"/>
  <c r="O80" i="21"/>
  <c r="Q80" i="21" s="1"/>
  <c r="AC45" i="35"/>
  <c r="AB45" i="35"/>
  <c r="O48" i="21"/>
  <c r="Q48" i="21" s="1"/>
  <c r="O52" i="21"/>
  <c r="Q52" i="21" s="1"/>
  <c r="U59" i="21"/>
  <c r="AE20" i="35" s="1"/>
  <c r="O61" i="21"/>
  <c r="Q61" i="21" s="1"/>
  <c r="O65" i="21"/>
  <c r="Q65" i="21" s="1"/>
  <c r="AC32" i="35"/>
  <c r="AB32" i="35"/>
  <c r="AC31" i="35"/>
  <c r="O47" i="21"/>
  <c r="Q47" i="21" s="1"/>
  <c r="O51" i="21"/>
  <c r="Q51" i="21" s="1"/>
  <c r="U55" i="21"/>
  <c r="AE17" i="35" s="1"/>
  <c r="O60" i="21"/>
  <c r="Q60" i="21" s="1"/>
  <c r="O77" i="21"/>
  <c r="Q77" i="21" s="1"/>
  <c r="O79" i="21"/>
  <c r="Q79" i="21" s="1"/>
  <c r="AC43" i="35"/>
  <c r="AB44" i="35"/>
  <c r="AB37" i="35" l="1"/>
  <c r="AC14" i="35"/>
  <c r="X13" i="21"/>
  <c r="AD14" i="35" s="1"/>
  <c r="AC40" i="35" s="1"/>
  <c r="X8" i="21"/>
  <c r="E8" i="21"/>
  <c r="AC10" i="35"/>
  <c r="X5" i="21"/>
  <c r="AD10" i="35" s="1"/>
  <c r="AC36" i="35" s="1"/>
  <c r="AC16" i="35"/>
  <c r="AB42" i="35" s="1"/>
  <c r="AB35" i="35"/>
  <c r="X82" i="21"/>
  <c r="Z82" i="21" s="1"/>
  <c r="AB38" i="35"/>
  <c r="AB33" i="35"/>
  <c r="AB41" i="35"/>
  <c r="AB36" i="35"/>
  <c r="X88" i="21"/>
  <c r="X41" i="21"/>
  <c r="AD15" i="35" s="1"/>
  <c r="AC41" i="35" s="1"/>
  <c r="X17" i="21"/>
  <c r="D3" i="25" s="1"/>
  <c r="I3" i="25" s="1"/>
  <c r="AB40" i="35"/>
  <c r="X50" i="21"/>
  <c r="D7" i="25" s="1"/>
  <c r="I7" i="25" s="1"/>
  <c r="X59" i="21"/>
  <c r="Z59" i="21" s="1"/>
  <c r="X55" i="21"/>
  <c r="X36" i="21"/>
  <c r="X25" i="21"/>
  <c r="X32" i="21"/>
  <c r="X67" i="21"/>
  <c r="X45" i="21"/>
  <c r="X75" i="21"/>
  <c r="X85" i="21"/>
  <c r="Z13" i="21" l="1"/>
  <c r="AD5" i="35"/>
  <c r="D2" i="25"/>
  <c r="I2" i="25" s="1"/>
  <c r="AD8" i="35"/>
  <c r="AC34" i="35" s="1"/>
  <c r="Z5" i="21"/>
  <c r="Z17" i="21"/>
  <c r="Z41" i="21"/>
  <c r="Z50" i="21"/>
  <c r="AD6" i="35"/>
  <c r="Z88" i="21"/>
  <c r="AD13" i="35"/>
  <c r="AC39" i="35" s="1"/>
  <c r="AD20" i="35"/>
  <c r="AD16" i="35"/>
  <c r="AC42" i="35" s="1"/>
  <c r="Z8" i="21"/>
  <c r="AD9" i="35"/>
  <c r="AC35" i="35" s="1"/>
  <c r="Z45" i="21"/>
  <c r="D5" i="25"/>
  <c r="I5" i="25" s="1"/>
  <c r="AD7" i="35"/>
  <c r="Z32" i="21"/>
  <c r="Z67" i="21"/>
  <c r="AD19" i="35"/>
  <c r="AD11" i="35"/>
  <c r="AC37" i="35" s="1"/>
  <c r="D4" i="25"/>
  <c r="I4" i="25" s="1"/>
  <c r="Z25" i="21"/>
  <c r="AD12" i="35"/>
  <c r="AC38" i="35" s="1"/>
  <c r="D6" i="25"/>
  <c r="I6" i="25" s="1"/>
  <c r="Z36" i="21"/>
  <c r="AD18" i="35"/>
  <c r="Z75" i="21"/>
  <c r="AD4" i="35"/>
  <c r="Z85" i="21"/>
  <c r="Z55" i="21"/>
  <c r="AD17" i="35"/>
  <c r="AA81" i="21" l="1"/>
  <c r="AA4" i="21"/>
  <c r="AA54" i="21"/>
  <c r="AC33" i="35"/>
  <c r="Z27" i="35"/>
  <c r="AQ7" i="37" l="1"/>
  <c r="AP7" i="37" l="1"/>
  <c r="AP13" i="37"/>
  <c r="AR13" i="37" s="1"/>
</calcChain>
</file>

<file path=xl/sharedStrings.xml><?xml version="1.0" encoding="utf-8"?>
<sst xmlns="http://schemas.openxmlformats.org/spreadsheetml/2006/main" count="821" uniqueCount="425">
  <si>
    <t>No</t>
  </si>
  <si>
    <t>Type</t>
  </si>
  <si>
    <t>Yes</t>
  </si>
  <si>
    <t>Inputs</t>
  </si>
  <si>
    <t>Technical feasibility</t>
  </si>
  <si>
    <t>Operational feasibility</t>
  </si>
  <si>
    <t>Domain knowledge</t>
  </si>
  <si>
    <t>Potential products</t>
  </si>
  <si>
    <t>--</t>
  </si>
  <si>
    <t>Very important</t>
  </si>
  <si>
    <t>Important</t>
  </si>
  <si>
    <t>Desirable</t>
  </si>
  <si>
    <t>Intermediate values</t>
  </si>
  <si>
    <t>Rating (ordinal)</t>
  </si>
  <si>
    <t>Outputs (internal)</t>
  </si>
  <si>
    <t>Outputs (user)</t>
  </si>
  <si>
    <t>pot1</t>
  </si>
  <si>
    <t>pot4</t>
  </si>
  <si>
    <t>pot6</t>
  </si>
  <si>
    <t>Products of the product line will be developped with a stable technology (Refresh rate &gt;5 years)</t>
  </si>
  <si>
    <t>CustConex1</t>
  </si>
  <si>
    <t>CustConex3</t>
  </si>
  <si>
    <t>CustConex4</t>
  </si>
  <si>
    <t>Common1</t>
  </si>
  <si>
    <t>marketOrien2</t>
  </si>
  <si>
    <t>marketOrien3</t>
  </si>
  <si>
    <t>marketOrien4</t>
  </si>
  <si>
    <t>marketOrien5</t>
  </si>
  <si>
    <t>DomKnow1</t>
  </si>
  <si>
    <t>DomKnow3</t>
  </si>
  <si>
    <t>DomKnow4</t>
  </si>
  <si>
    <t>DomKnow 2</t>
  </si>
  <si>
    <t>Common2</t>
  </si>
  <si>
    <t>PotProduct3</t>
  </si>
  <si>
    <t>PotProduct4</t>
  </si>
  <si>
    <t>PotProduct7</t>
  </si>
  <si>
    <t>PotProduct8</t>
  </si>
  <si>
    <t>Dimensions</t>
  </si>
  <si>
    <t>The organization has successfull products in the targeted market</t>
  </si>
  <si>
    <t>Strongly agree</t>
  </si>
  <si>
    <t>Agree</t>
  </si>
  <si>
    <t>Strongly disagree</t>
  </si>
  <si>
    <t>Score</t>
  </si>
  <si>
    <t>Dont' know</t>
  </si>
  <si>
    <t>Disagree</t>
  </si>
  <si>
    <t>Relative weight by statetement
(Ws)</t>
  </si>
  <si>
    <t>Internal</t>
  </si>
  <si>
    <t>External</t>
  </si>
  <si>
    <t>Suggested importance</t>
  </si>
  <si>
    <t>Customized importance</t>
  </si>
  <si>
    <t>Summary for graph</t>
  </si>
  <si>
    <t>Criteria</t>
  </si>
  <si>
    <t>Op.</t>
  </si>
  <si>
    <t>Tech.</t>
  </si>
  <si>
    <t>Label</t>
  </si>
  <si>
    <t>Coordenate (x)</t>
  </si>
  <si>
    <t>Coordenate (y)</t>
  </si>
  <si>
    <t>SuggestedImp</t>
  </si>
  <si>
    <t>CustomImport</t>
  </si>
  <si>
    <t>FinalImp</t>
  </si>
  <si>
    <t>Suggested Imp</t>
  </si>
  <si>
    <t>Matrix info</t>
  </si>
  <si>
    <t>VeryImp</t>
  </si>
  <si>
    <t>Imp</t>
  </si>
  <si>
    <t>Des</t>
  </si>
  <si>
    <t>NoApp</t>
  </si>
  <si>
    <t>Op.Crit1</t>
  </si>
  <si>
    <t>Op.Crit2</t>
  </si>
  <si>
    <t>Op.Crit3</t>
  </si>
  <si>
    <t>Op.Crit4</t>
  </si>
  <si>
    <t>Op.Crit5</t>
  </si>
  <si>
    <t>Op.Crit6</t>
  </si>
  <si>
    <t>Tech.Cri1</t>
  </si>
  <si>
    <t>Tech.Cri2</t>
  </si>
  <si>
    <t>Tech.Cri3</t>
  </si>
  <si>
    <t>Tech.Cri4</t>
  </si>
  <si>
    <t>Tech.Cri5</t>
  </si>
  <si>
    <t>Tech.Cri6</t>
  </si>
  <si>
    <t>Tech.Cri7</t>
  </si>
  <si>
    <t>Op.Crit7</t>
  </si>
  <si>
    <t>Op.Crit8</t>
  </si>
  <si>
    <t>Econo.Cri1</t>
  </si>
  <si>
    <t>Econo.Cri2</t>
  </si>
  <si>
    <t>Econo.Cri3</t>
  </si>
  <si>
    <t>Econo.Cri4</t>
  </si>
  <si>
    <t>Econo.Cri5</t>
  </si>
  <si>
    <t>Econo.Cri6</t>
  </si>
  <si>
    <t>Econo.Cri7</t>
  </si>
  <si>
    <t>Econo.Cri8</t>
  </si>
  <si>
    <t>Econo.Cri9</t>
  </si>
  <si>
    <t>Score (y)</t>
  </si>
  <si>
    <t>Importance(x)</t>
  </si>
  <si>
    <t>Impotant</t>
  </si>
  <si>
    <t>Not apply</t>
  </si>
  <si>
    <t>Importance Label(x)</t>
  </si>
  <si>
    <t>Oportunities</t>
  </si>
  <si>
    <t>Weaknesses</t>
  </si>
  <si>
    <t>Threats</t>
  </si>
  <si>
    <t>Strengths</t>
  </si>
  <si>
    <t>Ec.Cri8</t>
  </si>
  <si>
    <t>Ec.Cri1</t>
  </si>
  <si>
    <t>Ec.Cri4</t>
  </si>
  <si>
    <t>Ec.Cri5</t>
  </si>
  <si>
    <t>Ec.Cri7</t>
  </si>
  <si>
    <t>Ec.Cri6</t>
  </si>
  <si>
    <t>Ec.Cri3</t>
  </si>
  <si>
    <t>Ec.Cri2</t>
  </si>
  <si>
    <t>Ec.Cri9</t>
  </si>
  <si>
    <t>Economical</t>
  </si>
  <si>
    <t>Technical</t>
  </si>
  <si>
    <t>Operational importat</t>
  </si>
  <si>
    <t>Operational very important</t>
  </si>
  <si>
    <t>Operational desirable</t>
  </si>
  <si>
    <t>Gráfico con la información final</t>
  </si>
  <si>
    <t>Economical feasibility</t>
  </si>
  <si>
    <t>Average reference value</t>
  </si>
  <si>
    <t>Name</t>
  </si>
  <si>
    <t>CustConex7</t>
  </si>
  <si>
    <t>The organization is able to balance customer and product-centered approaches in product  development</t>
  </si>
  <si>
    <t>MangSupp1</t>
  </si>
  <si>
    <t>Commitment of key actors</t>
  </si>
  <si>
    <t>Process discipline</t>
  </si>
  <si>
    <t>ProDisci1</t>
  </si>
  <si>
    <t>ProDics4</t>
  </si>
  <si>
    <t>ProDics6</t>
  </si>
  <si>
    <t>PotRoi1</t>
  </si>
  <si>
    <t>Economic indicators</t>
  </si>
  <si>
    <t xml:space="preserve">The organization is willing to do regular investments  to keep code healthy and keep the number of variations manageable.  </t>
  </si>
  <si>
    <t>PotInvest1</t>
  </si>
  <si>
    <t>bussMotiv2</t>
  </si>
  <si>
    <t>bussMotiv3</t>
  </si>
  <si>
    <t>bussMotiv1</t>
  </si>
  <si>
    <t>Common3</t>
  </si>
  <si>
    <t>Potential products  have common features</t>
  </si>
  <si>
    <t>Potential products have common qualities</t>
  </si>
  <si>
    <t>Common4</t>
  </si>
  <si>
    <t>Variabil1</t>
  </si>
  <si>
    <t>Variabil3</t>
  </si>
  <si>
    <t>Variabil4</t>
  </si>
  <si>
    <t>Techcnical feasibility</t>
  </si>
  <si>
    <t>bussMotiv4</t>
  </si>
  <si>
    <t>bussMotiv5</t>
  </si>
  <si>
    <t>Market potential</t>
  </si>
  <si>
    <t>Reuse potential</t>
  </si>
  <si>
    <t>SPLawa3</t>
  </si>
  <si>
    <t>SPLawa2</t>
  </si>
  <si>
    <t>SPLawa1</t>
  </si>
  <si>
    <t>CommKey4</t>
  </si>
  <si>
    <t>DomKnow5</t>
  </si>
  <si>
    <t>PotInvest2</t>
  </si>
  <si>
    <t>Software engineering capability</t>
  </si>
  <si>
    <t>SECap1</t>
  </si>
  <si>
    <t>Staff have expertise in the potential product line domain</t>
  </si>
  <si>
    <t>DomKnow7</t>
  </si>
  <si>
    <t>SECap2</t>
  </si>
  <si>
    <t>exisAsset2</t>
  </si>
  <si>
    <t>exisAsset4</t>
  </si>
  <si>
    <t>reusePotent6</t>
  </si>
  <si>
    <t>reusePotent5</t>
  </si>
  <si>
    <t>Reuse aptitute</t>
  </si>
  <si>
    <t>reuseApt1</t>
  </si>
  <si>
    <t>reusPoten1</t>
  </si>
  <si>
    <t>Current products are common enough for reusing key design elements</t>
  </si>
  <si>
    <t>reuseApt3</t>
  </si>
  <si>
    <t>The legacy code could be incorporated into the product line approach with minor or no changes</t>
  </si>
  <si>
    <t>reusPoten2</t>
  </si>
  <si>
    <t xml:space="preserve">reuseApt4
</t>
  </si>
  <si>
    <t>The organization is independent on proprietary tools built and used to support a single system approach</t>
  </si>
  <si>
    <t>SECap5</t>
  </si>
  <si>
    <t>The organization is able to retain existing customers</t>
  </si>
  <si>
    <t>SEICap6</t>
  </si>
  <si>
    <t>reusePotent3</t>
  </si>
  <si>
    <t>There are established developer roles, such as software architects and reuse coordinators</t>
  </si>
  <si>
    <t>SEICap8</t>
  </si>
  <si>
    <t>reuseApt5</t>
  </si>
  <si>
    <t>reuseApt6</t>
  </si>
  <si>
    <t>bussMotiv6</t>
  </si>
  <si>
    <t>Components, that might be incorporated into the product line, are reliable  to use.</t>
  </si>
  <si>
    <t>The enterprise is willing to pay the costs for training people in SPL engineering</t>
  </si>
  <si>
    <t>reuseApt7</t>
  </si>
  <si>
    <t>individuals
1</t>
  </si>
  <si>
    <t>individuals6</t>
  </si>
  <si>
    <t>individuals7</t>
  </si>
  <si>
    <t>orgprep1</t>
  </si>
  <si>
    <t>orgprep2</t>
  </si>
  <si>
    <t>orgprep3</t>
  </si>
  <si>
    <t>bussMotiv8</t>
  </si>
  <si>
    <t>bussMotiv9</t>
  </si>
  <si>
    <t>DomKnow8</t>
  </si>
  <si>
    <t>bussMotiv10</t>
  </si>
  <si>
    <t>individuals4</t>
  </si>
  <si>
    <t>bussMotiv11</t>
  </si>
  <si>
    <t>bussMotiv12</t>
  </si>
  <si>
    <t>bussMotiv13</t>
  </si>
  <si>
    <t>Organizational challenges</t>
  </si>
  <si>
    <t>bussMotiv15</t>
  </si>
  <si>
    <t>bussMotiv16</t>
  </si>
  <si>
    <t>bussMotiv17</t>
  </si>
  <si>
    <t>ProDisci2</t>
  </si>
  <si>
    <t>bussMotiv18</t>
  </si>
  <si>
    <t>bussMotiv19</t>
  </si>
  <si>
    <t>The organization has formal plans to maintain its assets</t>
  </si>
  <si>
    <t>bussMotiv20</t>
  </si>
  <si>
    <t>bussMotiv21</t>
  </si>
  <si>
    <t>bussMotiv22</t>
  </si>
  <si>
    <t>Testers find repeated bugs with similar causes</t>
  </si>
  <si>
    <t>Organizational opportunities</t>
  </si>
  <si>
    <t>Discomfort - management problems</t>
  </si>
  <si>
    <t>bussMotiv24</t>
  </si>
  <si>
    <t>Readiness to pay migration costs</t>
  </si>
  <si>
    <t>Readiness to do investments</t>
  </si>
  <si>
    <t>Product variants are implemented in source code files that are scattered in different parts of the code repository</t>
  </si>
  <si>
    <t>Products take too long to integrate, test, and get out the door</t>
  </si>
  <si>
    <t>It is difficult to ensure that modifications of specific products do not affect the quality of other products</t>
  </si>
  <si>
    <t>Entirely new products will be developed</t>
  </si>
  <si>
    <t>EC3</t>
  </si>
  <si>
    <t>migraCost2</t>
  </si>
  <si>
    <t>migraCost3</t>
  </si>
  <si>
    <t>Market share is held by largest companies in which the organization is included</t>
  </si>
  <si>
    <t>Current customer needs are known</t>
  </si>
  <si>
    <t>A future market for the products under the scope of the product line is foreseeable</t>
  </si>
  <si>
    <t>Requirements are documented in a structured and disciplined way</t>
  </si>
  <si>
    <t xml:space="preserve">The organization has experience applying standardized engineering procedures for developing its products. i.e. CMMI </t>
  </si>
  <si>
    <t>The organization staff  have knowledge about product line engineering. Otherwise, they are willing to learn</t>
  </si>
  <si>
    <t>The oganization could predict the evolution of the products</t>
  </si>
  <si>
    <t>The organization is a pioneer in the development of products</t>
  </si>
  <si>
    <t>Future customer needs could be predicted</t>
  </si>
  <si>
    <t>The organization control how the product is developed.  e.g.,there are not design constraints such as  specific components use or support of customer-specific interfaces.</t>
  </si>
  <si>
    <t>The organization has the potential of offering new products that market has not anticipated</t>
  </si>
  <si>
    <t>The organization uses feedback from customers to develop new products or services</t>
  </si>
  <si>
    <t>The organization is able to attract  new customers</t>
  </si>
  <si>
    <t>The organization has brand loyalty</t>
  </si>
  <si>
    <t>The organization has know-how to capture the requirements that will cover the product line</t>
  </si>
  <si>
    <t>Engineers have enough expertise to decide what is variable in the domain</t>
  </si>
  <si>
    <t xml:space="preserve"> Domain-specific talent exists in the organization</t>
  </si>
  <si>
    <t>Organization has experience in the product line domain</t>
  </si>
  <si>
    <t>Engineers have enough expertise to decide what is common in the domain</t>
  </si>
  <si>
    <t>The organization develops more than one product that could be integrated into a product line</t>
  </si>
  <si>
    <t xml:space="preserve">The potential product line could create at least three different products </t>
  </si>
  <si>
    <t>If needed,  individuals are open to change their development practices</t>
  </si>
  <si>
    <t>If needed, individuals are open to change their taks assignments</t>
  </si>
  <si>
    <t>The individuals would be commited  to try  product  line engineering methods</t>
  </si>
  <si>
    <t>The organization might be will to perform internal changes required to adopt a product line approach</t>
  </si>
  <si>
    <t>Different organizational units are able to work collaboratively</t>
  </si>
  <si>
    <t>The cross-functional activities around departments can be synchronized</t>
  </si>
  <si>
    <t>Relevant stakeholders will support the initiative for exploring a product line solution</t>
  </si>
  <si>
    <t>The product line project will have a "product line champion" or "angel" at a high level of hierarchy</t>
  </si>
  <si>
    <t>There is explicit documentation which is up-to-date and available for reviewing</t>
  </si>
  <si>
    <t>If needed, the organization would provide capacity building about product line engineering</t>
  </si>
  <si>
    <t>Company will allocate employees' time for capacity building about product line engineering</t>
  </si>
  <si>
    <t>There are similarties in customer profiles or in customer business needs</t>
  </si>
  <si>
    <t>Variability among products helps to retain current customers</t>
  </si>
  <si>
    <t>Variability among products helps to gain new customers</t>
  </si>
  <si>
    <t>The organization has a strategy to control the change management in their artifacts</t>
  </si>
  <si>
    <t>Staff have technical competence in the technology that might be used for implementing the product line</t>
  </si>
  <si>
    <t>There are technical and business artifacts such as field service  technician documentation, customer engineering, or  interaction that might be reused</t>
  </si>
  <si>
    <t>Architectures of different products are aligned</t>
  </si>
  <si>
    <t xml:space="preserve">The company is pledged to the industry standards (e.g., for protocols, interfaces, components) </t>
  </si>
  <si>
    <t>The company has established reuse processes  for providing or consuming external components</t>
  </si>
  <si>
    <t>Current organizational structure allows to develop reusable components</t>
  </si>
  <si>
    <t>Technical staff agree developping new software based on reusable components rather than build it from the scratch</t>
  </si>
  <si>
    <t>There is low coupling between existing sotware artefacts</t>
  </si>
  <si>
    <t>There is high cohesion between existing sotware artefacts</t>
  </si>
  <si>
    <t>There are unified and shared understanding of domain-specific terms among the staff</t>
  </si>
  <si>
    <t>The potential return on investment (ROI)  of the software product line meet the organizational financial target</t>
  </si>
  <si>
    <t>The maintenance cost of the former products without planned reuse is higher than migrating the products towards a product line approach</t>
  </si>
  <si>
    <t>The enterprise is willing to pay costs for building the core asset base</t>
  </si>
  <si>
    <t>Reuse opportunities</t>
  </si>
  <si>
    <t>There are overlapping elements in the plans for different products. e.g. uncoming trends or domain-specific technologies that are expected to be used within many products in the future</t>
  </si>
  <si>
    <t>Discomfort - lack of systematic and planned reuse among products</t>
  </si>
  <si>
    <t>Discomfort - product quality weaknesses</t>
  </si>
  <si>
    <t>The cost of product development grows too high</t>
  </si>
  <si>
    <t>The organization needs developing an increasing number of specialized products quickly</t>
  </si>
  <si>
    <t>The organization requires entering into new niche markets with low-priced products that share characteristics</t>
  </si>
  <si>
    <t>Potential products have differentiating characteristics</t>
  </si>
  <si>
    <t>The organization has a strong software engineering capability</t>
  </si>
  <si>
    <t>Management and developers considering possible future use when they develop software artefacts</t>
  </si>
  <si>
    <t>The company has identical or highly similar software code segments caused by overuse of cut and paste programming</t>
  </si>
  <si>
    <t>Current products are similar, but they were implemented in completely different ways</t>
  </si>
  <si>
    <t>Existing products meet the market needs but require constant investment to ensure their evolution and maintainability</t>
  </si>
  <si>
    <t>New products include the complete set of functionalities and services even though they do not require everything to work properly</t>
  </si>
  <si>
    <t>The organization needs address complex variability needs</t>
  </si>
  <si>
    <t>Technological advances made it possible to migrate the existing products to the same technology</t>
  </si>
  <si>
    <t>The enterprise has legacy reusable code that would like to translate into a more maintainable form</t>
  </si>
  <si>
    <t>Separated products with common elements were developed without interaction among the teams</t>
  </si>
  <si>
    <t>Current products will be abandoned due to outdated technology or due to difficulties to upgraded them</t>
  </si>
  <si>
    <t>There is technology compatibility among products to incorporate into the product line</t>
  </si>
  <si>
    <t xml:space="preserve"> Customers conexión</t>
  </si>
  <si>
    <t>Degree of control over 
product specification</t>
  </si>
  <si>
    <t>Commitment of 
key actors</t>
  </si>
  <si>
    <t>Market 
potential</t>
  </si>
  <si>
    <t>Attitude for change</t>
  </si>
  <si>
    <t>Organizational 
preparation</t>
  </si>
  <si>
    <t>Product line awareness</t>
  </si>
  <si>
    <t xml:space="preserve">Product line awareness
</t>
  </si>
  <si>
    <t xml:space="preserve"> Process discipline</t>
  </si>
  <si>
    <t>Readiness to do 
investments</t>
  </si>
  <si>
    <t xml:space="preserve"> Readiness to pay 
migration costs</t>
  </si>
  <si>
    <t>Software engineering 
capability</t>
  </si>
  <si>
    <t>Economic dimension</t>
  </si>
  <si>
    <t>Commonality and 
variability</t>
  </si>
  <si>
    <t>Opennes</t>
  </si>
  <si>
    <t>Individuals in the organization are open to changes on how interact the different business areas</t>
  </si>
  <si>
    <t>Calculated importance</t>
  </si>
  <si>
    <t xml:space="preserve"> Degree of control over product specification</t>
  </si>
  <si>
    <t>Input</t>
  </si>
  <si>
    <t>Commonality and variability</t>
  </si>
  <si>
    <t>Criteria score</t>
  </si>
  <si>
    <t>Statement score</t>
  </si>
  <si>
    <t>Dimension score</t>
  </si>
  <si>
    <t>Criterion relative weight</t>
  </si>
  <si>
    <t>Partial grade by criterion</t>
  </si>
  <si>
    <r>
      <t>Rating (numerical)</t>
    </r>
    <r>
      <rPr>
        <sz val="16"/>
        <color theme="1"/>
        <rFont val="Calibri"/>
        <family val="2"/>
        <scheme val="minor"/>
      </rPr>
      <t/>
    </r>
  </si>
  <si>
    <t>Outputs</t>
  </si>
  <si>
    <t>The market is “similar enough” to set features that can be shared across product variants. However, there are still differentiating characteristics</t>
  </si>
  <si>
    <t>Total</t>
  </si>
  <si>
    <t>Aswered triggers</t>
  </si>
  <si>
    <t>Dont'know</t>
  </si>
  <si>
    <t>Match %</t>
  </si>
  <si>
    <t>Triggers category</t>
  </si>
  <si>
    <t>The organization has an uncontrolled set of parts that run separately</t>
  </si>
  <si>
    <t>Tipe</t>
  </si>
  <si>
    <t>Organization's name (please complete)</t>
  </si>
  <si>
    <t>Plots name</t>
  </si>
  <si>
    <t xml:space="preserve"> </t>
  </si>
  <si>
    <t>Criteria summary of scores</t>
  </si>
  <si>
    <t>Select all that apply</t>
  </si>
  <si>
    <t>It becomes impossible to derive new products, or update existing ones with the current production plateform/infraestructure</t>
  </si>
  <si>
    <t> It is complex and time-consuming to coordinate parallel development efforts that share common objectives</t>
  </si>
  <si>
    <t>Customiz
Imp value</t>
  </si>
  <si>
    <t>Calculated importance value</t>
  </si>
  <si>
    <t>Adoption trigger</t>
  </si>
  <si>
    <t>Luis enterprise</t>
  </si>
  <si>
    <t xml:space="preserve">Common products have graphical style differences </t>
  </si>
  <si>
    <t>When the company fixes defects or makes minor enhancements, the same task needs to be repeated for every single client</t>
  </si>
  <si>
    <t>Importance</t>
  </si>
  <si>
    <t>Dimension</t>
  </si>
  <si>
    <t>Operational</t>
  </si>
  <si>
    <t>Economic</t>
  </si>
  <si>
    <t>Resulting  importance-number</t>
  </si>
  <si>
    <t>Not applicable</t>
  </si>
  <si>
    <t>RoundedImportance</t>
  </si>
  <si>
    <t># Importance</t>
  </si>
  <si>
    <t>Operational factors</t>
  </si>
  <si>
    <t>The company has identical or highly similar software code segments due to poor reuse practice such as cut and paste programming practices</t>
  </si>
  <si>
    <t>Current products are similar, but were implemented in completely different ways or without interaction among the teams</t>
  </si>
  <si>
    <t>Id</t>
  </si>
  <si>
    <t>OP-ReusO1</t>
  </si>
  <si>
    <t>OP-ReusO3</t>
  </si>
  <si>
    <t>OP-ReusO4</t>
  </si>
  <si>
    <t>OP-ReusO5</t>
  </si>
  <si>
    <t>OP-ReusO8</t>
  </si>
  <si>
    <t>Similar market</t>
  </si>
  <si>
    <t>OP-challengO2</t>
  </si>
  <si>
    <t>OP-challengO3</t>
  </si>
  <si>
    <t>New market</t>
  </si>
  <si>
    <t>OP-orgOppoO3</t>
  </si>
  <si>
    <t>OP-orgOppoO1</t>
  </si>
  <si>
    <t>OP-orgOppoO4</t>
  </si>
  <si>
    <t>Technology advances</t>
  </si>
  <si>
    <t>Legacy code</t>
  </si>
  <si>
    <t>Th-planReuse1</t>
  </si>
  <si>
    <t>Th-planReuse2</t>
  </si>
  <si>
    <t>Th-planReuse3</t>
  </si>
  <si>
    <t>Th-planReuse4</t>
  </si>
  <si>
    <t>Th-planReuse5</t>
  </si>
  <si>
    <t>Repeated bugs</t>
  </si>
  <si>
    <t>Duplicated source code</t>
  </si>
  <si>
    <t>Scattered source code</t>
  </si>
  <si>
    <t>Graphical style differences</t>
  </si>
  <si>
    <t>Modifications affects other products</t>
  </si>
  <si>
    <t>Products includes all functionalities</t>
  </si>
  <si>
    <t>Th-qualityWeakn1</t>
  </si>
  <si>
    <t>Th-qualityWeakn2</t>
  </si>
  <si>
    <t>Th-qualityWeakn3</t>
  </si>
  <si>
    <t>Similar products implemented differently</t>
  </si>
  <si>
    <t>Th-planReuse6</t>
  </si>
  <si>
    <t>Th-highCost1</t>
  </si>
  <si>
    <t>Th-highCost2</t>
  </si>
  <si>
    <t>Score overview chart</t>
  </si>
  <si>
    <t>SWOT -classification</t>
  </si>
  <si>
    <t>Opportunity driven trigger</t>
  </si>
  <si>
    <t>Weaknesses-driven triggers</t>
  </si>
  <si>
    <t>The market requires  an increasing number of specialized products in a short time. These products might be developed by the organization</t>
  </si>
  <si>
    <t>Outdated technology caused current products will be abandoned</t>
  </si>
  <si>
    <t>Threat-driven trigger</t>
  </si>
  <si>
    <t>Strength-driven trigger</t>
  </si>
  <si>
    <t>Strength- driven trigger</t>
  </si>
  <si>
    <t>It becomes impossible to derive new products, or update existing ones with the current production infraestructure</t>
  </si>
  <si>
    <t>The organization retains  its current customers due to the variability among their products</t>
  </si>
  <si>
    <t>The organization gains new customers  due to the variability among their products</t>
  </si>
  <si>
    <t xml:space="preserve">There is a new niche market with shared characteristics. The company expects enter to this market </t>
  </si>
  <si>
    <t>Similar customer profile</t>
  </si>
  <si>
    <t>Gain customers</t>
  </si>
  <si>
    <t>Retain customers</t>
  </si>
  <si>
    <t>Similar incomming plans</t>
  </si>
  <si>
    <t>Technological advances make  possible to migrate existing products with heterogeneus technology to the same technology</t>
  </si>
  <si>
    <t>Alignment with adoption drivers</t>
  </si>
  <si>
    <t>Seleccionados</t>
  </si>
  <si>
    <t>Pendientes</t>
  </si>
  <si>
    <t>The company has legacy reusable code that would like to translate into a more maintainable form</t>
  </si>
  <si>
    <t>The market is “similar enough” to set features that can be shared across product variants and at the same time there are still differentiating characteristics</t>
  </si>
  <si>
    <t>Factor</t>
  </si>
  <si>
    <t>%</t>
  </si>
  <si>
    <t>Adoption drivers</t>
  </si>
  <si>
    <t>Share of selected drivers</t>
  </si>
  <si>
    <t>Strength-based drivers</t>
  </si>
  <si>
    <t>Opportunity-based drivers</t>
  </si>
  <si>
    <t>Weakness-based drivers</t>
  </si>
  <si>
    <t>Threat-based drivers</t>
  </si>
  <si>
    <t>Difficulties to derive new products economically</t>
  </si>
  <si>
    <t>Repeated maintenance tasks</t>
  </si>
  <si>
    <t>Uncontrolled product parts</t>
  </si>
  <si>
    <t xml:space="preserve">Customize products in short time </t>
  </si>
  <si>
    <t>Performance by dimension</t>
  </si>
  <si>
    <t>Info for the graphics</t>
  </si>
  <si>
    <t>Preparation grid</t>
  </si>
  <si>
    <t>Pending sub-criteria</t>
  </si>
  <si>
    <t>Sub criteria</t>
  </si>
  <si>
    <t>Organizational williness</t>
  </si>
  <si>
    <t>Customers connection</t>
  </si>
  <si>
    <t>Dimension/Assessment criterion/Sub-criterion</t>
  </si>
  <si>
    <t>There is budget for investments</t>
  </si>
  <si>
    <t>Relative importance</t>
  </si>
  <si>
    <t>Abandoned products Techn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</si>
</sst>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9" tint="-0.249977111117893"/>
      <name val="Arial Unicode MS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sz val="12"/>
      <color theme="8" tint="-0.499984740745262"/>
      <name val="Calibri"/>
      <family val="2"/>
      <scheme val="minor"/>
    </font>
    <font>
      <b/>
      <i/>
      <u/>
      <sz val="12"/>
      <color theme="8" tint="-0.499984740745262"/>
      <name val="Calibri"/>
      <family val="2"/>
      <scheme val="minor"/>
    </font>
    <font>
      <u/>
      <sz val="11"/>
      <color theme="8" tint="-0.499984740745262"/>
      <name val="Calibri"/>
      <family val="2"/>
      <scheme val="minor"/>
    </font>
    <font>
      <u/>
      <sz val="14"/>
      <color theme="8" tint="-0.499984740745262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2"/>
      <color theme="4"/>
      <name val="Calibri"/>
      <family val="2"/>
      <scheme val="minor"/>
    </font>
    <font>
      <b/>
      <sz val="10"/>
      <color theme="9" tint="-0.249977111117893"/>
      <name val="Arial Unicode MS"/>
      <family val="2"/>
    </font>
    <font>
      <u/>
      <sz val="12"/>
      <color theme="8" tint="-0.49998474074526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20"/>
      <color theme="9" tint="-0.249977111117893"/>
      <name val="Arial Unicode MS"/>
      <family val="2"/>
    </font>
    <font>
      <b/>
      <sz val="20"/>
      <color theme="9" tint="-0.249977111117893"/>
      <name val="Calibri"/>
      <family val="2"/>
      <scheme val="minor"/>
    </font>
    <font>
      <b/>
      <i/>
      <sz val="16"/>
      <color theme="8" tint="-0.249977111117893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2" tint="-0.749992370372631"/>
      <name val="Calibri"/>
      <family val="2"/>
      <scheme val="minor"/>
    </font>
    <font>
      <b/>
      <sz val="12"/>
      <color rgb="FF4E607A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b/>
      <i/>
      <u/>
      <sz val="10"/>
      <color theme="8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3"/>
      <color theme="8" tint="-0.249977111117893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i/>
      <sz val="8"/>
      <color theme="8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4E607A"/>
      <name val="Calibri"/>
      <family val="2"/>
      <scheme val="minor"/>
    </font>
    <font>
      <b/>
      <sz val="20"/>
      <color rgb="FF4E607A"/>
      <name val="Calibri"/>
      <family val="2"/>
      <scheme val="minor"/>
    </font>
    <font>
      <b/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E9FB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96C75"/>
        <bgColor indexed="64"/>
      </patternFill>
    </fill>
    <fill>
      <patternFill patternType="solid">
        <fgColor rgb="FF4E607A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F9FB7"/>
        <bgColor indexed="64"/>
      </patternFill>
    </fill>
    <fill>
      <patternFill patternType="solid">
        <fgColor rgb="FFB8B8D1"/>
        <bgColor indexed="64"/>
      </patternFill>
    </fill>
    <fill>
      <patternFill patternType="solid">
        <fgColor rgb="FFDDF7D9"/>
        <bgColor indexed="64"/>
      </patternFill>
    </fill>
    <fill>
      <patternFill patternType="solid">
        <fgColor rgb="FF0C8A96"/>
        <bgColor indexed="64"/>
      </patternFill>
    </fill>
    <fill>
      <patternFill patternType="solid">
        <fgColor rgb="FFD7D9D7"/>
        <bgColor indexed="64"/>
      </patternFill>
    </fill>
    <fill>
      <patternFill patternType="solid">
        <fgColor rgb="FF084C61"/>
        <bgColor indexed="64"/>
      </patternFill>
    </fill>
    <fill>
      <patternFill patternType="solid">
        <fgColor rgb="FFDCE1E8"/>
        <bgColor indexed="64"/>
      </patternFill>
    </fill>
    <fill>
      <patternFill patternType="solid">
        <fgColor theme="6" tint="0.59999389629810485"/>
        <bgColor indexed="64"/>
      </patternFill>
    </fill>
  </fills>
  <borders count="78">
    <border>
      <left/>
      <right/>
      <top/>
      <bottom/>
      <diagonal/>
    </border>
    <border>
      <left style="medium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1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medium">
        <color indexed="64"/>
      </bottom>
      <diagonal/>
    </border>
    <border>
      <left style="thin">
        <color theme="1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thin">
        <color theme="1"/>
      </right>
      <top style="thin">
        <color theme="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thin">
        <color theme="0"/>
      </top>
      <bottom/>
      <diagonal/>
    </border>
    <border>
      <left style="medium">
        <color theme="1"/>
      </left>
      <right/>
      <top/>
      <bottom/>
      <diagonal/>
    </border>
    <border>
      <left style="medium">
        <color rgb="FF4E607A"/>
      </left>
      <right/>
      <top style="medium">
        <color rgb="FF4E607A"/>
      </top>
      <bottom/>
      <diagonal/>
    </border>
    <border>
      <left/>
      <right/>
      <top style="medium">
        <color rgb="FF4E607A"/>
      </top>
      <bottom/>
      <diagonal/>
    </border>
    <border>
      <left/>
      <right style="medium">
        <color rgb="FF4E607A"/>
      </right>
      <top style="medium">
        <color rgb="FF4E607A"/>
      </top>
      <bottom/>
      <diagonal/>
    </border>
    <border>
      <left style="medium">
        <color rgb="FF4E607A"/>
      </left>
      <right/>
      <top style="medium">
        <color indexed="64"/>
      </top>
      <bottom style="thin">
        <color theme="0"/>
      </bottom>
      <diagonal/>
    </border>
    <border>
      <left style="medium">
        <color rgb="FF4E607A"/>
      </left>
      <right/>
      <top style="thin">
        <color theme="0"/>
      </top>
      <bottom style="thin">
        <color theme="0"/>
      </bottom>
      <diagonal/>
    </border>
    <border>
      <left/>
      <right style="medium">
        <color rgb="FF4E607A"/>
      </right>
      <top/>
      <bottom/>
      <diagonal/>
    </border>
    <border>
      <left style="medium">
        <color rgb="FF4E607A"/>
      </left>
      <right/>
      <top style="thin">
        <color theme="0"/>
      </top>
      <bottom/>
      <diagonal/>
    </border>
    <border>
      <left style="medium">
        <color rgb="FF4E607A"/>
      </left>
      <right/>
      <top/>
      <bottom/>
      <diagonal/>
    </border>
    <border>
      <left style="medium">
        <color rgb="FF4E607A"/>
      </left>
      <right/>
      <top style="thin">
        <color theme="0"/>
      </top>
      <bottom style="medium">
        <color rgb="FF4E607A"/>
      </bottom>
      <diagonal/>
    </border>
    <border>
      <left style="medium">
        <color theme="1"/>
      </left>
      <right/>
      <top style="thin">
        <color theme="0"/>
      </top>
      <bottom style="medium">
        <color rgb="FF4E607A"/>
      </bottom>
      <diagonal/>
    </border>
    <border>
      <left/>
      <right/>
      <top/>
      <bottom style="medium">
        <color rgb="FF4E607A"/>
      </bottom>
      <diagonal/>
    </border>
    <border>
      <left/>
      <right style="medium">
        <color rgb="FF4E607A"/>
      </right>
      <top/>
      <bottom style="medium">
        <color rgb="FF4E607A"/>
      </bottom>
      <diagonal/>
    </border>
    <border>
      <left style="medium">
        <color theme="1"/>
      </left>
      <right/>
      <top/>
      <bottom style="thin">
        <color theme="0"/>
      </bottom>
      <diagonal/>
    </border>
    <border>
      <left style="medium">
        <color rgb="FF4E607A"/>
      </left>
      <right/>
      <top style="medium">
        <color rgb="FF4E607A"/>
      </top>
      <bottom style="medium">
        <color rgb="FF4E607A"/>
      </bottom>
      <diagonal/>
    </border>
    <border>
      <left/>
      <right/>
      <top style="medium">
        <color rgb="FF4E607A"/>
      </top>
      <bottom style="medium">
        <color rgb="FF4E607A"/>
      </bottom>
      <diagonal/>
    </border>
    <border>
      <left style="thin">
        <color theme="0"/>
      </left>
      <right style="medium">
        <color rgb="FF4E607A"/>
      </right>
      <top style="medium">
        <color rgb="FF4E607A"/>
      </top>
      <bottom style="medium">
        <color rgb="FF4E607A"/>
      </bottom>
      <diagonal/>
    </border>
    <border>
      <left style="medium">
        <color theme="1" tint="4.9989318521683403E-2"/>
      </left>
      <right/>
      <top style="medium">
        <color theme="1" tint="4.9989318521683403E-2"/>
      </top>
      <bottom/>
      <diagonal/>
    </border>
    <border>
      <left/>
      <right/>
      <top style="medium">
        <color theme="1" tint="4.9989318521683403E-2"/>
      </top>
      <bottom/>
      <diagonal/>
    </border>
    <border>
      <left/>
      <right style="medium">
        <color theme="1" tint="4.9989318521683403E-2"/>
      </right>
      <top style="medium">
        <color theme="1" tint="4.9989318521683403E-2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theme="1" tint="4.9989318521683403E-2"/>
      </right>
      <top/>
      <bottom/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rgb="FF4E607A"/>
      </left>
      <right/>
      <top/>
      <bottom style="thin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 style="medium">
        <color auto="1"/>
      </right>
      <top/>
      <bottom style="thin">
        <color theme="0" tint="-0.34998626667073579"/>
      </bottom>
      <diagonal/>
    </border>
    <border>
      <left/>
      <right style="medium">
        <color auto="1"/>
      </right>
      <top style="thin">
        <color theme="0" tint="-0.34998626667073579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4E607A"/>
      </bottom>
      <diagonal/>
    </border>
    <border>
      <left/>
      <right/>
      <top style="medium">
        <color indexed="64"/>
      </top>
      <bottom style="thin">
        <color rgb="FF4E607A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rgb="FF4E607A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4E607A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</borders>
  <cellStyleXfs count="2">
    <xf numFmtId="0" fontId="0" fillId="0" borderId="0"/>
    <xf numFmtId="9" fontId="27" fillId="0" borderId="0" applyFont="0" applyFill="0" applyBorder="0" applyAlignment="0" applyProtection="0"/>
  </cellStyleXfs>
  <cellXfs count="32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3" borderId="0" xfId="0" applyFill="1"/>
    <xf numFmtId="0" fontId="0" fillId="0" borderId="0" xfId="0" applyFont="1" applyFill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9" borderId="0" xfId="0" applyFill="1"/>
    <xf numFmtId="2" fontId="0" fillId="0" borderId="0" xfId="0" applyNumberFormat="1"/>
    <xf numFmtId="0" fontId="28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0" fillId="9" borderId="0" xfId="0" applyFill="1" applyAlignment="1">
      <alignment horizontal="center" wrapText="1"/>
    </xf>
    <xf numFmtId="2" fontId="0" fillId="9" borderId="0" xfId="0" applyNumberFormat="1" applyFill="1" applyAlignment="1">
      <alignment wrapText="1"/>
    </xf>
    <xf numFmtId="2" fontId="0" fillId="9" borderId="0" xfId="0" applyNumberFormat="1" applyFill="1"/>
    <xf numFmtId="0" fontId="0" fillId="0" borderId="0" xfId="0" applyFont="1"/>
    <xf numFmtId="0" fontId="1" fillId="0" borderId="0" xfId="0" applyFont="1" applyAlignment="1">
      <alignment wrapText="1"/>
    </xf>
    <xf numFmtId="0" fontId="1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9" fillId="0" borderId="0" xfId="0" applyFont="1"/>
    <xf numFmtId="164" fontId="0" fillId="0" borderId="0" xfId="0" applyNumberFormat="1"/>
    <xf numFmtId="0" fontId="0" fillId="0" borderId="0" xfId="0" applyAlignment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wrapText="1"/>
    </xf>
    <xf numFmtId="0" fontId="28" fillId="0" borderId="0" xfId="0" applyFont="1" applyAlignment="1">
      <alignment wrapText="1"/>
    </xf>
    <xf numFmtId="0" fontId="0" fillId="0" borderId="0" xfId="0" applyFont="1" applyAlignment="1">
      <alignment wrapText="1"/>
    </xf>
    <xf numFmtId="0" fontId="0" fillId="0" borderId="0" xfId="0" applyAlignment="1">
      <alignment horizontal="left"/>
    </xf>
    <xf numFmtId="0" fontId="28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wrapText="1"/>
    </xf>
    <xf numFmtId="0" fontId="0" fillId="0" borderId="0" xfId="0" applyFont="1" applyAlignment="1">
      <alignment horizontal="left" wrapText="1"/>
    </xf>
    <xf numFmtId="0" fontId="28" fillId="0" borderId="0" xfId="0" applyFont="1" applyAlignment="1">
      <alignment horizontal="left" wrapText="1"/>
    </xf>
    <xf numFmtId="0" fontId="0" fillId="0" borderId="0" xfId="0" applyFont="1" applyAlignment="1">
      <alignment horizontal="center" wrapText="1"/>
    </xf>
    <xf numFmtId="0" fontId="0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0" fillId="2" borderId="0" xfId="0" applyFont="1" applyFill="1"/>
    <xf numFmtId="0" fontId="22" fillId="2" borderId="0" xfId="0" applyFont="1" applyFill="1" applyAlignment="1">
      <alignment horizontal="left" vertical="center" wrapText="1"/>
    </xf>
    <xf numFmtId="2" fontId="0" fillId="7" borderId="5" xfId="0" applyNumberFormat="1" applyFill="1" applyBorder="1" applyAlignment="1">
      <alignment horizontal="center" vertical="center"/>
    </xf>
    <xf numFmtId="2" fontId="0" fillId="7" borderId="4" xfId="0" applyNumberFormat="1" applyFill="1" applyBorder="1" applyAlignment="1">
      <alignment horizontal="center" vertical="center"/>
    </xf>
    <xf numFmtId="0" fontId="11" fillId="14" borderId="2" xfId="0" applyFont="1" applyFill="1" applyBorder="1" applyAlignment="1">
      <alignment horizontal="left" vertical="center" wrapText="1" indent="1"/>
    </xf>
    <xf numFmtId="0" fontId="36" fillId="15" borderId="8" xfId="0" applyFont="1" applyFill="1" applyBorder="1" applyAlignment="1">
      <alignment horizontal="left" vertical="center" wrapText="1"/>
    </xf>
    <xf numFmtId="0" fontId="36" fillId="15" borderId="9" xfId="0" applyFont="1" applyFill="1" applyBorder="1" applyAlignment="1">
      <alignment horizontal="center" vertical="center" wrapText="1"/>
    </xf>
    <xf numFmtId="0" fontId="36" fillId="15" borderId="10" xfId="0" applyFont="1" applyFill="1" applyBorder="1" applyAlignment="1">
      <alignment horizontal="center" vertical="center" wrapText="1"/>
    </xf>
    <xf numFmtId="0" fontId="36" fillId="15" borderId="6" xfId="0" applyFont="1" applyFill="1" applyBorder="1" applyAlignment="1">
      <alignment horizontal="center" vertical="center" wrapText="1"/>
    </xf>
    <xf numFmtId="0" fontId="12" fillId="15" borderId="12" xfId="0" applyFont="1" applyFill="1" applyBorder="1" applyAlignment="1">
      <alignment horizontal="center" vertical="center" wrapText="1"/>
    </xf>
    <xf numFmtId="0" fontId="12" fillId="15" borderId="7" xfId="0" applyFont="1" applyFill="1" applyBorder="1" applyAlignment="1">
      <alignment horizontal="center" vertical="center" wrapText="1"/>
    </xf>
    <xf numFmtId="9" fontId="10" fillId="8" borderId="15" xfId="0" applyNumberFormat="1" applyFont="1" applyFill="1" applyBorder="1" applyAlignment="1">
      <alignment vertical="center"/>
    </xf>
    <xf numFmtId="0" fontId="14" fillId="7" borderId="0" xfId="0" applyFont="1" applyFill="1" applyBorder="1" applyAlignment="1">
      <alignment horizontal="center" vertical="center" wrapText="1"/>
    </xf>
    <xf numFmtId="2" fontId="23" fillId="6" borderId="0" xfId="0" applyNumberFormat="1" applyFont="1" applyFill="1" applyBorder="1" applyAlignment="1">
      <alignment horizontal="center" vertical="center" wrapText="1"/>
    </xf>
    <xf numFmtId="0" fontId="31" fillId="0" borderId="0" xfId="0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center" vertical="center" wrapText="1"/>
    </xf>
    <xf numFmtId="0" fontId="8" fillId="2" borderId="17" xfId="0" applyFont="1" applyFill="1" applyBorder="1" applyAlignment="1">
      <alignment horizontal="center" vertical="center" wrapText="1"/>
    </xf>
    <xf numFmtId="2" fontId="5" fillId="6" borderId="16" xfId="0" applyNumberFormat="1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2" fontId="35" fillId="13" borderId="0" xfId="0" applyNumberFormat="1" applyFont="1" applyFill="1" applyBorder="1" applyAlignment="1">
      <alignment horizontal="center" vertical="center" wrapText="1"/>
    </xf>
    <xf numFmtId="2" fontId="4" fillId="13" borderId="0" xfId="0" applyNumberFormat="1" applyFont="1" applyFill="1" applyBorder="1" applyAlignment="1">
      <alignment horizontal="center" vertical="center" wrapText="1"/>
    </xf>
    <xf numFmtId="2" fontId="0" fillId="7" borderId="0" xfId="0" applyNumberFormat="1" applyFill="1" applyBorder="1" applyAlignment="1">
      <alignment horizontal="center" vertical="center"/>
    </xf>
    <xf numFmtId="0" fontId="36" fillId="15" borderId="18" xfId="0" applyFont="1" applyFill="1" applyBorder="1" applyAlignment="1">
      <alignment horizontal="center" vertical="center" wrapText="1"/>
    </xf>
    <xf numFmtId="0" fontId="36" fillId="15" borderId="19" xfId="0" applyFont="1" applyFill="1" applyBorder="1" applyAlignment="1">
      <alignment horizontal="center" vertical="center" wrapText="1"/>
    </xf>
    <xf numFmtId="0" fontId="36" fillId="15" borderId="20" xfId="0" applyFont="1" applyFill="1" applyBorder="1" applyAlignment="1">
      <alignment horizontal="left" vertical="center" wrapText="1"/>
    </xf>
    <xf numFmtId="0" fontId="36" fillId="15" borderId="21" xfId="0" applyFont="1" applyFill="1" applyBorder="1" applyAlignment="1">
      <alignment horizontal="center" vertical="center" wrapText="1"/>
    </xf>
    <xf numFmtId="0" fontId="36" fillId="15" borderId="22" xfId="0" applyFont="1" applyFill="1" applyBorder="1" applyAlignment="1">
      <alignment horizontal="center" vertical="center" wrapText="1"/>
    </xf>
    <xf numFmtId="0" fontId="36" fillId="15" borderId="23" xfId="0" applyFont="1" applyFill="1" applyBorder="1" applyAlignment="1">
      <alignment horizontal="center" vertical="center" wrapText="1"/>
    </xf>
    <xf numFmtId="0" fontId="32" fillId="0" borderId="24" xfId="0" applyFont="1" applyFill="1" applyBorder="1" applyAlignment="1">
      <alignment horizontal="center" vertical="center" wrapText="1"/>
    </xf>
    <xf numFmtId="2" fontId="0" fillId="7" borderId="25" xfId="0" applyNumberFormat="1" applyFill="1" applyBorder="1" applyAlignment="1">
      <alignment horizontal="center" vertical="center"/>
    </xf>
    <xf numFmtId="0" fontId="17" fillId="3" borderId="0" xfId="0" applyFont="1" applyFill="1" applyBorder="1" applyAlignment="1">
      <alignment horizontal="center" vertical="center" wrapText="1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36" fillId="2" borderId="0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/>
    <xf numFmtId="0" fontId="7" fillId="2" borderId="0" xfId="0" applyFont="1" applyFill="1" applyAlignment="1">
      <alignment wrapText="1"/>
    </xf>
    <xf numFmtId="0" fontId="0" fillId="2" borderId="0" xfId="0" applyFill="1" applyAlignment="1">
      <alignment wrapText="1"/>
    </xf>
    <xf numFmtId="0" fontId="0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Border="1" applyAlignment="1">
      <alignment horizontal="center" vertical="center" wrapText="1"/>
    </xf>
    <xf numFmtId="2" fontId="3" fillId="2" borderId="0" xfId="0" applyNumberFormat="1" applyFont="1" applyFill="1" applyBorder="1" applyAlignment="1">
      <alignment horizontal="center" vertical="center"/>
    </xf>
    <xf numFmtId="0" fontId="3" fillId="2" borderId="0" xfId="0" applyFont="1" applyFill="1" applyBorder="1"/>
    <xf numFmtId="0" fontId="30" fillId="2" borderId="0" xfId="0" applyFont="1" applyFill="1" applyAlignment="1">
      <alignment horizontal="left" vertical="center" wrapText="1"/>
    </xf>
    <xf numFmtId="2" fontId="0" fillId="2" borderId="0" xfId="0" applyNumberFormat="1" applyFill="1" applyAlignment="1">
      <alignment horizontal="center" vertical="center" wrapText="1"/>
    </xf>
    <xf numFmtId="2" fontId="0" fillId="2" borderId="0" xfId="0" applyNumberFormat="1" applyFill="1" applyAlignment="1">
      <alignment horizontal="center" vertical="center"/>
    </xf>
    <xf numFmtId="0" fontId="24" fillId="16" borderId="17" xfId="0" applyFont="1" applyFill="1" applyBorder="1" applyAlignment="1">
      <alignment horizontal="center" vertical="center" wrapText="1"/>
    </xf>
    <xf numFmtId="2" fontId="34" fillId="16" borderId="17" xfId="0" applyNumberFormat="1" applyFont="1" applyFill="1" applyBorder="1" applyAlignment="1">
      <alignment horizontal="center" vertical="center"/>
    </xf>
    <xf numFmtId="0" fontId="0" fillId="2" borderId="0" xfId="0" applyFill="1" applyBorder="1"/>
    <xf numFmtId="0" fontId="9" fillId="2" borderId="0" xfId="0" applyFont="1" applyFill="1" applyBorder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0" fillId="18" borderId="0" xfId="0" applyFill="1" applyAlignment="1">
      <alignment vertical="center"/>
    </xf>
    <xf numFmtId="0" fontId="0" fillId="0" borderId="0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9" fontId="0" fillId="0" borderId="0" xfId="1" applyFont="1" applyFill="1" applyAlignment="1">
      <alignment horizontal="center" vertical="center"/>
    </xf>
    <xf numFmtId="9" fontId="0" fillId="0" borderId="0" xfId="1" applyNumberFormat="1" applyFont="1" applyFill="1" applyAlignment="1">
      <alignment horizontal="center" vertical="center"/>
    </xf>
    <xf numFmtId="0" fontId="1" fillId="21" borderId="0" xfId="0" applyFont="1" applyFill="1" applyAlignment="1">
      <alignment wrapText="1"/>
    </xf>
    <xf numFmtId="0" fontId="0" fillId="21" borderId="0" xfId="0" applyFont="1" applyFill="1"/>
    <xf numFmtId="0" fontId="0" fillId="21" borderId="0" xfId="0" applyFill="1"/>
    <xf numFmtId="0" fontId="0" fillId="21" borderId="0" xfId="0" applyFill="1" applyAlignment="1">
      <alignment horizontal="center" vertical="center"/>
    </xf>
    <xf numFmtId="0" fontId="0" fillId="21" borderId="0" xfId="0" applyFont="1" applyFill="1" applyAlignment="1">
      <alignment horizontal="center" vertical="center" wrapText="1"/>
    </xf>
    <xf numFmtId="0" fontId="0" fillId="21" borderId="0" xfId="0" applyFont="1" applyFill="1" applyAlignment="1">
      <alignment horizontal="center" vertical="center"/>
    </xf>
    <xf numFmtId="0" fontId="0" fillId="21" borderId="0" xfId="0" applyFont="1" applyFill="1" applyAlignment="1">
      <alignment vertical="center" wrapText="1"/>
    </xf>
    <xf numFmtId="0" fontId="0" fillId="21" borderId="0" xfId="0" applyFont="1" applyFill="1" applyAlignment="1">
      <alignment vertical="center"/>
    </xf>
    <xf numFmtId="0" fontId="0" fillId="21" borderId="0" xfId="0" applyFill="1" applyAlignment="1">
      <alignment vertical="center"/>
    </xf>
    <xf numFmtId="0" fontId="0" fillId="21" borderId="0" xfId="0" applyFont="1" applyFill="1" applyAlignment="1">
      <alignment wrapText="1"/>
    </xf>
    <xf numFmtId="0" fontId="38" fillId="17" borderId="32" xfId="0" applyFont="1" applyFill="1" applyBorder="1" applyAlignment="1">
      <alignment vertical="center" wrapText="1"/>
    </xf>
    <xf numFmtId="0" fontId="0" fillId="20" borderId="33" xfId="0" applyFont="1" applyFill="1" applyBorder="1" applyAlignment="1">
      <alignment vertical="center" wrapText="1"/>
    </xf>
    <xf numFmtId="0" fontId="0" fillId="0" borderId="34" xfId="0" applyFont="1" applyFill="1" applyBorder="1" applyAlignment="1">
      <alignment horizontal="center" vertical="center"/>
    </xf>
    <xf numFmtId="0" fontId="38" fillId="17" borderId="35" xfId="0" applyFont="1" applyFill="1" applyBorder="1" applyAlignment="1">
      <alignment vertical="center" wrapText="1"/>
    </xf>
    <xf numFmtId="0" fontId="0" fillId="20" borderId="36" xfId="0" applyFont="1" applyFill="1" applyBorder="1" applyAlignment="1">
      <alignment vertical="center" wrapText="1"/>
    </xf>
    <xf numFmtId="0" fontId="26" fillId="10" borderId="33" xfId="0" applyFont="1" applyFill="1" applyBorder="1" applyAlignment="1">
      <alignment vertical="center" wrapText="1"/>
    </xf>
    <xf numFmtId="0" fontId="0" fillId="20" borderId="37" xfId="0" applyFont="1" applyFill="1" applyBorder="1" applyAlignment="1">
      <alignment vertical="center" wrapText="1"/>
    </xf>
    <xf numFmtId="0" fontId="0" fillId="0" borderId="39" xfId="0" applyFont="1" applyFill="1" applyBorder="1" applyAlignment="1">
      <alignment horizontal="center" vertical="center"/>
    </xf>
    <xf numFmtId="0" fontId="0" fillId="0" borderId="43" xfId="0" applyFont="1" applyFill="1" applyBorder="1" applyAlignment="1">
      <alignment horizontal="center" vertical="center"/>
    </xf>
    <xf numFmtId="0" fontId="38" fillId="17" borderId="44" xfId="0" applyFont="1" applyFill="1" applyBorder="1" applyAlignment="1">
      <alignment vertical="center" wrapText="1"/>
    </xf>
    <xf numFmtId="0" fontId="11" fillId="17" borderId="44" xfId="0" applyFont="1" applyFill="1" applyBorder="1" applyAlignment="1">
      <alignment vertical="center" wrapText="1"/>
    </xf>
    <xf numFmtId="0" fontId="0" fillId="0" borderId="34" xfId="0" applyFont="1" applyFill="1" applyBorder="1" applyAlignment="1" applyProtection="1">
      <alignment horizontal="center" vertical="center"/>
      <protection locked="0"/>
    </xf>
    <xf numFmtId="0" fontId="10" fillId="11" borderId="42" xfId="0" applyFont="1" applyFill="1" applyBorder="1"/>
    <xf numFmtId="0" fontId="0" fillId="11" borderId="43" xfId="0" applyFont="1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1" borderId="48" xfId="0" applyFill="1" applyBorder="1" applyAlignment="1">
      <alignment horizontal="center" vertical="center"/>
    </xf>
    <xf numFmtId="0" fontId="0" fillId="21" borderId="49" xfId="0" applyFill="1" applyBorder="1" applyAlignment="1">
      <alignment horizontal="center" vertical="center"/>
    </xf>
    <xf numFmtId="0" fontId="0" fillId="21" borderId="50" xfId="0" applyFill="1" applyBorder="1" applyAlignment="1">
      <alignment horizontal="center" vertical="center"/>
    </xf>
    <xf numFmtId="0" fontId="0" fillId="21" borderId="51" xfId="0" applyFill="1" applyBorder="1" applyAlignment="1">
      <alignment horizontal="center" vertical="center"/>
    </xf>
    <xf numFmtId="0" fontId="0" fillId="21" borderId="52" xfId="0" applyFill="1" applyBorder="1" applyAlignment="1">
      <alignment horizontal="center" vertical="center"/>
    </xf>
    <xf numFmtId="0" fontId="0" fillId="21" borderId="46" xfId="0" applyFill="1" applyBorder="1" applyAlignment="1">
      <alignment horizontal="center" vertical="center"/>
    </xf>
    <xf numFmtId="0" fontId="0" fillId="0" borderId="40" xfId="0" applyFont="1" applyFill="1" applyBorder="1" applyAlignment="1" applyProtection="1">
      <alignment horizontal="center" vertical="center"/>
      <protection locked="0"/>
    </xf>
    <xf numFmtId="0" fontId="0" fillId="2" borderId="0" xfId="0" quotePrefix="1" applyFill="1"/>
    <xf numFmtId="0" fontId="36" fillId="15" borderId="10" xfId="0" applyFont="1" applyFill="1" applyBorder="1" applyAlignment="1">
      <alignment horizontal="left" vertical="center" wrapText="1"/>
    </xf>
    <xf numFmtId="0" fontId="36" fillId="15" borderId="22" xfId="0" applyFont="1" applyFill="1" applyBorder="1" applyAlignment="1">
      <alignment horizontal="left" vertical="center" wrapText="1"/>
    </xf>
    <xf numFmtId="1" fontId="43" fillId="6" borderId="0" xfId="0" applyNumberFormat="1" applyFont="1" applyFill="1" applyBorder="1" applyAlignment="1">
      <alignment horizontal="center" vertical="center" wrapText="1"/>
    </xf>
    <xf numFmtId="2" fontId="0" fillId="3" borderId="53" xfId="0" applyNumberFormat="1" applyFill="1" applyBorder="1"/>
    <xf numFmtId="0" fontId="0" fillId="3" borderId="53" xfId="0" applyFill="1" applyBorder="1"/>
    <xf numFmtId="0" fontId="1" fillId="13" borderId="53" xfId="0" applyFont="1" applyFill="1" applyBorder="1" applyAlignment="1">
      <alignment horizontal="center" vertical="center"/>
    </xf>
    <xf numFmtId="0" fontId="1" fillId="13" borderId="53" xfId="0" applyFont="1" applyFill="1" applyBorder="1" applyAlignment="1">
      <alignment horizontal="center" vertical="center" wrapText="1"/>
    </xf>
    <xf numFmtId="0" fontId="0" fillId="20" borderId="41" xfId="0" applyFont="1" applyFill="1" applyBorder="1" applyAlignment="1">
      <alignment horizontal="center" vertical="center" wrapText="1"/>
    </xf>
    <xf numFmtId="0" fontId="0" fillId="20" borderId="1" xfId="0" applyFont="1" applyFill="1" applyBorder="1" applyAlignment="1">
      <alignment horizontal="center" vertical="center" wrapText="1"/>
    </xf>
    <xf numFmtId="0" fontId="0" fillId="20" borderId="27" xfId="0" applyFont="1" applyFill="1" applyBorder="1" applyAlignment="1">
      <alignment horizontal="center" vertical="center" wrapText="1"/>
    </xf>
    <xf numFmtId="0" fontId="38" fillId="17" borderId="42" xfId="0" applyFont="1" applyFill="1" applyBorder="1" applyAlignment="1">
      <alignment horizontal="center" vertical="center" wrapText="1"/>
    </xf>
    <xf numFmtId="0" fontId="0" fillId="20" borderId="28" xfId="0" applyFont="1" applyFill="1" applyBorder="1" applyAlignment="1">
      <alignment horizontal="center" vertical="center" wrapText="1"/>
    </xf>
    <xf numFmtId="0" fontId="0" fillId="20" borderId="38" xfId="0" applyFont="1" applyFill="1" applyBorder="1" applyAlignment="1">
      <alignment horizontal="center" vertical="center" wrapText="1"/>
    </xf>
    <xf numFmtId="2" fontId="44" fillId="6" borderId="0" xfId="0" applyNumberFormat="1" applyFont="1" applyFill="1" applyBorder="1" applyAlignment="1">
      <alignment horizontal="center" vertical="center" wrapText="1"/>
    </xf>
    <xf numFmtId="0" fontId="45" fillId="3" borderId="0" xfId="0" applyFont="1" applyFill="1" applyBorder="1" applyAlignment="1">
      <alignment horizontal="center" vertical="center" wrapText="1"/>
    </xf>
    <xf numFmtId="0" fontId="46" fillId="20" borderId="1" xfId="0" applyFont="1" applyFill="1" applyBorder="1" applyAlignment="1">
      <alignment horizontal="center" vertical="center" wrapText="1"/>
    </xf>
    <xf numFmtId="0" fontId="46" fillId="20" borderId="27" xfId="0" applyFont="1" applyFill="1" applyBorder="1" applyAlignment="1">
      <alignment horizontal="center" vertical="center" wrapText="1"/>
    </xf>
    <xf numFmtId="2" fontId="5" fillId="6" borderId="0" xfId="0" applyNumberFormat="1" applyFont="1" applyFill="1" applyBorder="1" applyAlignment="1">
      <alignment horizontal="center" vertical="center" wrapText="1"/>
    </xf>
    <xf numFmtId="0" fontId="11" fillId="2" borderId="0" xfId="0" applyFont="1" applyFill="1" applyBorder="1" applyAlignment="1">
      <alignment vertical="center" wrapText="1"/>
    </xf>
    <xf numFmtId="0" fontId="0" fillId="2" borderId="0" xfId="0" applyFont="1" applyFill="1" applyBorder="1" applyAlignment="1" applyProtection="1">
      <alignment horizontal="center" vertical="center"/>
      <protection locked="0"/>
    </xf>
    <xf numFmtId="0" fontId="38" fillId="2" borderId="0" xfId="0" applyFont="1" applyFill="1" applyBorder="1" applyAlignment="1">
      <alignment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33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0" fillId="2" borderId="0" xfId="0" applyFont="1" applyFill="1" applyAlignment="1">
      <alignment vertical="center"/>
    </xf>
    <xf numFmtId="0" fontId="26" fillId="2" borderId="33" xfId="0" applyFont="1" applyFill="1" applyBorder="1" applyAlignment="1">
      <alignment vertical="center" wrapText="1"/>
    </xf>
    <xf numFmtId="0" fontId="0" fillId="2" borderId="37" xfId="0" applyFont="1" applyFill="1" applyBorder="1" applyAlignment="1">
      <alignment vertical="center" wrapText="1"/>
    </xf>
    <xf numFmtId="0" fontId="0" fillId="0" borderId="0" xfId="0" applyFill="1"/>
    <xf numFmtId="0" fontId="0" fillId="3" borderId="0" xfId="0" applyFill="1" applyBorder="1" applyAlignment="1">
      <alignment horizontal="center" vertical="center"/>
    </xf>
    <xf numFmtId="0" fontId="0" fillId="0" borderId="17" xfId="0" applyFont="1" applyFill="1" applyBorder="1" applyAlignment="1" applyProtection="1">
      <alignment horizontal="center" vertical="center"/>
      <protection locked="0"/>
    </xf>
    <xf numFmtId="0" fontId="0" fillId="0" borderId="24" xfId="0" applyFont="1" applyFill="1" applyBorder="1" applyAlignment="1">
      <alignment horizontal="center" vertical="center"/>
    </xf>
    <xf numFmtId="0" fontId="0" fillId="0" borderId="26" xfId="0" applyFont="1" applyFill="1" applyBorder="1" applyAlignment="1" applyProtection="1">
      <alignment horizontal="center" vertical="center"/>
      <protection locked="0"/>
    </xf>
    <xf numFmtId="0" fontId="1" fillId="2" borderId="53" xfId="0" applyFont="1" applyFill="1" applyBorder="1" applyAlignment="1">
      <alignment horizontal="center" vertical="center" wrapText="1"/>
    </xf>
    <xf numFmtId="0" fontId="0" fillId="2" borderId="53" xfId="0" applyFont="1" applyFill="1" applyBorder="1" applyAlignment="1">
      <alignment horizontal="center" vertical="center" wrapText="1"/>
    </xf>
    <xf numFmtId="0" fontId="1" fillId="2" borderId="53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9" fontId="0" fillId="2" borderId="53" xfId="1" applyNumberFormat="1" applyFont="1" applyFill="1" applyBorder="1" applyAlignment="1">
      <alignment horizontal="center" vertical="center"/>
    </xf>
    <xf numFmtId="0" fontId="0" fillId="2" borderId="53" xfId="0" applyFont="1" applyFill="1" applyBorder="1" applyAlignment="1">
      <alignment horizontal="center" vertical="center"/>
    </xf>
    <xf numFmtId="9" fontId="0" fillId="2" borderId="53" xfId="1" applyFont="1" applyFill="1" applyBorder="1" applyAlignment="1">
      <alignment horizontal="center" vertical="center"/>
    </xf>
    <xf numFmtId="0" fontId="0" fillId="3" borderId="54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42" fillId="2" borderId="0" xfId="0" applyFont="1" applyFill="1" applyAlignment="1">
      <alignment horizontal="center"/>
    </xf>
    <xf numFmtId="2" fontId="50" fillId="6" borderId="0" xfId="0" applyNumberFormat="1" applyFont="1" applyFill="1" applyBorder="1" applyAlignment="1">
      <alignment horizontal="center" vertical="center" wrapText="1"/>
    </xf>
    <xf numFmtId="0" fontId="51" fillId="0" borderId="0" xfId="0" applyFont="1" applyFill="1" applyBorder="1" applyAlignment="1">
      <alignment horizontal="center" vertical="center" wrapText="1"/>
    </xf>
    <xf numFmtId="0" fontId="0" fillId="3" borderId="53" xfId="0" applyFill="1" applyBorder="1" applyAlignment="1">
      <alignment horizontal="center" vertical="center"/>
    </xf>
    <xf numFmtId="2" fontId="0" fillId="3" borderId="53" xfId="0" applyNumberFormat="1" applyFill="1" applyBorder="1" applyAlignment="1">
      <alignment horizontal="center" vertical="center"/>
    </xf>
    <xf numFmtId="0" fontId="42" fillId="2" borderId="0" xfId="0" applyFont="1" applyFill="1" applyAlignment="1"/>
    <xf numFmtId="0" fontId="0" fillId="2" borderId="59" xfId="0" applyFont="1" applyFill="1" applyBorder="1" applyAlignment="1">
      <alignment vertical="center" wrapText="1"/>
    </xf>
    <xf numFmtId="0" fontId="0" fillId="20" borderId="55" xfId="0" applyFont="1" applyFill="1" applyBorder="1" applyAlignment="1">
      <alignment vertical="center" wrapText="1"/>
    </xf>
    <xf numFmtId="0" fontId="0" fillId="20" borderId="16" xfId="0" applyFont="1" applyFill="1" applyBorder="1" applyAlignment="1">
      <alignment vertical="center" wrapText="1"/>
    </xf>
    <xf numFmtId="0" fontId="26" fillId="10" borderId="55" xfId="0" applyFont="1" applyFill="1" applyBorder="1" applyAlignment="1">
      <alignment vertical="center" wrapText="1"/>
    </xf>
    <xf numFmtId="0" fontId="0" fillId="20" borderId="58" xfId="0" applyFont="1" applyFill="1" applyBorder="1" applyAlignment="1">
      <alignment vertical="center" wrapText="1"/>
    </xf>
    <xf numFmtId="0" fontId="0" fillId="20" borderId="0" xfId="0" applyFont="1" applyFill="1" applyBorder="1" applyAlignment="1">
      <alignment vertical="center" wrapText="1"/>
    </xf>
    <xf numFmtId="0" fontId="0" fillId="2" borderId="0" xfId="0" applyFont="1" applyFill="1" applyBorder="1" applyAlignment="1">
      <alignment vertical="center" wrapText="1"/>
    </xf>
    <xf numFmtId="0" fontId="26" fillId="2" borderId="0" xfId="0" applyFont="1" applyFill="1" applyBorder="1" applyAlignment="1">
      <alignment vertical="center" wrapText="1"/>
    </xf>
    <xf numFmtId="0" fontId="0" fillId="20" borderId="10" xfId="0" applyFont="1" applyFill="1" applyBorder="1" applyAlignment="1">
      <alignment horizontal="center" vertical="center" wrapText="1"/>
    </xf>
    <xf numFmtId="0" fontId="0" fillId="20" borderId="13" xfId="0" applyFont="1" applyFill="1" applyBorder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2" borderId="10" xfId="0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0" fillId="2" borderId="0" xfId="0" applyFont="1" applyFill="1" applyBorder="1" applyAlignment="1" applyProtection="1">
      <alignment horizontal="center" vertical="center" wrapText="1"/>
      <protection locked="0"/>
    </xf>
    <xf numFmtId="0" fontId="0" fillId="2" borderId="0" xfId="0" applyFont="1" applyFill="1" applyAlignment="1">
      <alignment wrapText="1"/>
    </xf>
    <xf numFmtId="0" fontId="0" fillId="2" borderId="0" xfId="0" applyFont="1" applyFill="1" applyBorder="1" applyAlignment="1">
      <alignment horizontal="center" vertical="center" wrapText="1"/>
    </xf>
    <xf numFmtId="0" fontId="38" fillId="17" borderId="43" xfId="0" applyFont="1" applyFill="1" applyBorder="1" applyAlignment="1">
      <alignment horizontal="center" vertical="center" wrapText="1"/>
    </xf>
    <xf numFmtId="0" fontId="0" fillId="2" borderId="55" xfId="0" applyFont="1" applyFill="1" applyBorder="1" applyAlignment="1" applyProtection="1">
      <alignment horizontal="center" vertical="center" wrapText="1"/>
      <protection locked="0"/>
    </xf>
    <xf numFmtId="0" fontId="0" fillId="2" borderId="10" xfId="0" applyFont="1" applyFill="1" applyBorder="1" applyAlignment="1" applyProtection="1">
      <alignment horizontal="center" vertical="center" wrapText="1"/>
      <protection locked="0"/>
    </xf>
    <xf numFmtId="0" fontId="0" fillId="0" borderId="10" xfId="0" applyFont="1" applyFill="1" applyBorder="1" applyAlignment="1">
      <alignment horizontal="center" vertical="center"/>
    </xf>
    <xf numFmtId="0" fontId="0" fillId="2" borderId="56" xfId="0" applyFont="1" applyFill="1" applyBorder="1" applyAlignment="1" applyProtection="1">
      <alignment horizontal="center" vertical="center" wrapText="1"/>
      <protection locked="0"/>
    </xf>
    <xf numFmtId="0" fontId="0" fillId="2" borderId="13" xfId="0" applyFont="1" applyFill="1" applyBorder="1" applyAlignment="1" applyProtection="1">
      <alignment horizontal="center" vertical="center" wrapText="1"/>
      <protection locked="0"/>
    </xf>
    <xf numFmtId="0" fontId="0" fillId="0" borderId="13" xfId="0" applyFont="1" applyFill="1" applyBorder="1" applyAlignment="1">
      <alignment horizontal="center" vertical="center"/>
    </xf>
    <xf numFmtId="0" fontId="0" fillId="0" borderId="63" xfId="0" applyFont="1" applyFill="1" applyBorder="1" applyAlignment="1" applyProtection="1">
      <alignment horizontal="center" vertical="center"/>
      <protection locked="0"/>
    </xf>
    <xf numFmtId="0" fontId="0" fillId="2" borderId="64" xfId="0" applyFont="1" applyFill="1" applyBorder="1" applyAlignment="1" applyProtection="1">
      <alignment horizontal="center" vertical="center" wrapText="1"/>
      <protection locked="0"/>
    </xf>
    <xf numFmtId="0" fontId="0" fillId="2" borderId="57" xfId="0" applyFont="1" applyFill="1" applyBorder="1" applyAlignment="1" applyProtection="1">
      <alignment horizontal="center" vertical="center" wrapText="1"/>
      <protection locked="0"/>
    </xf>
    <xf numFmtId="0" fontId="0" fillId="2" borderId="62" xfId="0" applyFont="1" applyFill="1" applyBorder="1" applyAlignment="1" applyProtection="1">
      <alignment horizontal="center" vertical="center" wrapText="1"/>
      <protection locked="0"/>
    </xf>
    <xf numFmtId="0" fontId="0" fillId="2" borderId="60" xfId="0" applyFont="1" applyFill="1" applyBorder="1" applyAlignment="1" applyProtection="1">
      <alignment horizontal="center" vertical="center" wrapText="1"/>
      <protection locked="0"/>
    </xf>
    <xf numFmtId="0" fontId="0" fillId="20" borderId="61" xfId="0" applyFont="1" applyFill="1" applyBorder="1" applyAlignment="1">
      <alignment horizontal="center" vertical="center" wrapText="1"/>
    </xf>
    <xf numFmtId="0" fontId="49" fillId="2" borderId="0" xfId="0" applyFont="1" applyFill="1" applyBorder="1" applyAlignment="1" applyProtection="1">
      <protection locked="0"/>
    </xf>
    <xf numFmtId="0" fontId="0" fillId="20" borderId="22" xfId="0" applyFont="1" applyFill="1" applyBorder="1" applyAlignment="1">
      <alignment horizontal="center" vertical="center" wrapText="1"/>
    </xf>
    <xf numFmtId="0" fontId="0" fillId="0" borderId="62" xfId="0" applyFont="1" applyFill="1" applyBorder="1" applyAlignment="1">
      <alignment horizontal="center" vertical="center"/>
    </xf>
    <xf numFmtId="0" fontId="0" fillId="0" borderId="65" xfId="0" applyFont="1" applyFill="1" applyBorder="1" applyAlignment="1" applyProtection="1">
      <alignment horizontal="center" vertical="center"/>
      <protection locked="0"/>
    </xf>
    <xf numFmtId="0" fontId="0" fillId="0" borderId="66" xfId="0" applyFont="1" applyFill="1" applyBorder="1" applyAlignment="1" applyProtection="1">
      <alignment horizontal="center" vertical="center"/>
      <protection locked="0"/>
    </xf>
    <xf numFmtId="0" fontId="3" fillId="20" borderId="62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2" borderId="13" xfId="0" applyFill="1" applyBorder="1" applyAlignment="1">
      <alignment horizontal="center" vertical="center" wrapText="1"/>
    </xf>
    <xf numFmtId="0" fontId="38" fillId="17" borderId="68" xfId="0" applyFont="1" applyFill="1" applyBorder="1" applyAlignment="1">
      <alignment horizontal="center" vertical="center" wrapText="1"/>
    </xf>
    <xf numFmtId="0" fontId="38" fillId="17" borderId="69" xfId="0" applyFont="1" applyFill="1" applyBorder="1" applyAlignment="1">
      <alignment horizontal="center" vertical="center" wrapText="1"/>
    </xf>
    <xf numFmtId="0" fontId="0" fillId="0" borderId="69" xfId="0" applyFont="1" applyFill="1" applyBorder="1" applyAlignment="1">
      <alignment horizontal="center" vertical="center"/>
    </xf>
    <xf numFmtId="0" fontId="11" fillId="17" borderId="70" xfId="0" applyFont="1" applyFill="1" applyBorder="1" applyAlignment="1">
      <alignment vertical="center" wrapText="1"/>
    </xf>
    <xf numFmtId="0" fontId="0" fillId="2" borderId="24" xfId="0" applyFont="1" applyFill="1" applyBorder="1" applyAlignment="1" applyProtection="1">
      <alignment horizontal="center" vertical="center" wrapText="1"/>
      <protection locked="0"/>
    </xf>
    <xf numFmtId="0" fontId="0" fillId="20" borderId="57" xfId="0" applyFont="1" applyFill="1" applyBorder="1" applyAlignment="1">
      <alignment vertical="center" wrapText="1"/>
    </xf>
    <xf numFmtId="0" fontId="0" fillId="2" borderId="62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0" borderId="62" xfId="0" applyFont="1" applyFill="1" applyBorder="1" applyAlignment="1">
      <alignment horizontal="center" vertical="center" wrapText="1"/>
    </xf>
    <xf numFmtId="0" fontId="38" fillId="17" borderId="71" xfId="0" applyFont="1" applyFill="1" applyBorder="1" applyAlignment="1">
      <alignment horizontal="center" vertical="center" wrapText="1"/>
    </xf>
    <xf numFmtId="0" fontId="38" fillId="17" borderId="72" xfId="0" applyFont="1" applyFill="1" applyBorder="1" applyAlignment="1">
      <alignment horizontal="center" vertical="center" wrapText="1"/>
    </xf>
    <xf numFmtId="0" fontId="52" fillId="17" borderId="73" xfId="0" applyFont="1" applyFill="1" applyBorder="1" applyAlignment="1">
      <alignment horizontal="center" vertical="center" wrapText="1"/>
    </xf>
    <xf numFmtId="0" fontId="52" fillId="17" borderId="74" xfId="0" applyFont="1" applyFill="1" applyBorder="1" applyAlignment="1">
      <alignment horizontal="center" vertical="center" wrapText="1"/>
    </xf>
    <xf numFmtId="0" fontId="49" fillId="3" borderId="0" xfId="0" applyFont="1" applyFill="1" applyBorder="1" applyAlignment="1" applyProtection="1">
      <protection locked="0"/>
    </xf>
    <xf numFmtId="9" fontId="0" fillId="2" borderId="0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0" borderId="24" xfId="0" applyFont="1" applyFill="1" applyBorder="1" applyAlignment="1">
      <alignment horizontal="center" vertical="center" wrapText="1"/>
    </xf>
    <xf numFmtId="0" fontId="0" fillId="11" borderId="0" xfId="0" applyFont="1" applyFill="1" applyBorder="1" applyAlignment="1">
      <alignment horizontal="center" vertical="center"/>
    </xf>
    <xf numFmtId="0" fontId="0" fillId="2" borderId="54" xfId="0" applyFont="1" applyFill="1" applyBorder="1" applyAlignment="1" applyProtection="1">
      <alignment horizontal="center" vertical="center" wrapText="1"/>
      <protection locked="0"/>
    </xf>
    <xf numFmtId="9" fontId="1" fillId="2" borderId="53" xfId="1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1" fillId="0" borderId="0" xfId="0" applyFont="1" applyFill="1"/>
    <xf numFmtId="2" fontId="0" fillId="0" borderId="0" xfId="0" applyNumberFormat="1" applyFill="1"/>
    <xf numFmtId="2" fontId="5" fillId="6" borderId="76" xfId="0" applyNumberFormat="1" applyFont="1" applyFill="1" applyBorder="1" applyAlignment="1">
      <alignment horizontal="center" vertical="center" wrapText="1"/>
    </xf>
    <xf numFmtId="2" fontId="5" fillId="6" borderId="75" xfId="0" applyNumberFormat="1" applyFont="1" applyFill="1" applyBorder="1" applyAlignment="1">
      <alignment horizontal="center" vertical="center" wrapText="1"/>
    </xf>
    <xf numFmtId="2" fontId="4" fillId="6" borderId="0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center" vertical="center" wrapText="1"/>
    </xf>
    <xf numFmtId="0" fontId="49" fillId="3" borderId="0" xfId="0" applyFont="1" applyFill="1" applyBorder="1" applyAlignment="1" applyProtection="1">
      <alignment horizontal="center"/>
      <protection locked="0"/>
    </xf>
    <xf numFmtId="0" fontId="21" fillId="11" borderId="0" xfId="0" applyFont="1" applyFill="1" applyBorder="1" applyAlignment="1">
      <alignment horizontal="center"/>
    </xf>
    <xf numFmtId="0" fontId="0" fillId="2" borderId="67" xfId="0" applyFill="1" applyBorder="1" applyAlignment="1">
      <alignment horizontal="center" vertical="center" textRotation="90"/>
    </xf>
    <xf numFmtId="0" fontId="0" fillId="2" borderId="67" xfId="0" applyFill="1" applyBorder="1" applyAlignment="1">
      <alignment horizontal="center" vertical="center" textRotation="180"/>
    </xf>
    <xf numFmtId="0" fontId="54" fillId="3" borderId="14" xfId="0" applyFont="1" applyFill="1" applyBorder="1" applyAlignment="1">
      <alignment horizontal="center" vertical="center" wrapText="1"/>
    </xf>
    <xf numFmtId="0" fontId="54" fillId="3" borderId="3" xfId="0" applyFont="1" applyFill="1" applyBorder="1" applyAlignment="1">
      <alignment horizontal="center" vertical="center" wrapText="1"/>
    </xf>
    <xf numFmtId="0" fontId="54" fillId="3" borderId="15" xfId="0" applyFont="1" applyFill="1" applyBorder="1" applyAlignment="1">
      <alignment horizontal="center" vertical="center" wrapText="1"/>
    </xf>
    <xf numFmtId="0" fontId="9" fillId="19" borderId="29" xfId="0" applyFont="1" applyFill="1" applyBorder="1" applyAlignment="1">
      <alignment horizontal="center" vertical="top" wrapText="1" readingOrder="1"/>
    </xf>
    <xf numFmtId="0" fontId="9" fillId="19" borderId="30" xfId="0" applyFont="1" applyFill="1" applyBorder="1" applyAlignment="1">
      <alignment horizontal="center" vertical="top" wrapText="1" readingOrder="1"/>
    </xf>
    <xf numFmtId="0" fontId="9" fillId="19" borderId="31" xfId="0" applyFont="1" applyFill="1" applyBorder="1" applyAlignment="1">
      <alignment horizontal="center" vertical="top" wrapText="1" readingOrder="1"/>
    </xf>
    <xf numFmtId="0" fontId="41" fillId="3" borderId="45" xfId="0" applyFont="1" applyFill="1" applyBorder="1" applyAlignment="1">
      <alignment horizontal="center" vertical="center" wrapText="1"/>
    </xf>
    <xf numFmtId="0" fontId="41" fillId="3" borderId="46" xfId="0" applyFont="1" applyFill="1" applyBorder="1" applyAlignment="1">
      <alignment horizontal="center" vertical="center" wrapText="1"/>
    </xf>
    <xf numFmtId="0" fontId="41" fillId="3" borderId="47" xfId="0" applyFont="1" applyFill="1" applyBorder="1" applyAlignment="1">
      <alignment horizontal="center" vertical="center" wrapText="1"/>
    </xf>
    <xf numFmtId="0" fontId="39" fillId="3" borderId="0" xfId="0" applyFont="1" applyFill="1" applyBorder="1" applyAlignment="1" applyProtection="1">
      <alignment horizontal="center"/>
      <protection locked="0"/>
    </xf>
    <xf numFmtId="0" fontId="3" fillId="2" borderId="17" xfId="0" applyFont="1" applyFill="1" applyBorder="1" applyAlignment="1">
      <alignment horizontal="center"/>
    </xf>
    <xf numFmtId="0" fontId="3" fillId="2" borderId="26" xfId="0" applyFont="1" applyFill="1" applyBorder="1" applyAlignment="1">
      <alignment horizontal="center"/>
    </xf>
    <xf numFmtId="0" fontId="37" fillId="2" borderId="0" xfId="0" applyFont="1" applyFill="1" applyBorder="1" applyAlignment="1">
      <alignment horizontal="center" vertical="center" wrapText="1"/>
    </xf>
    <xf numFmtId="0" fontId="17" fillId="4" borderId="0" xfId="0" applyFont="1" applyFill="1" applyBorder="1" applyAlignment="1">
      <alignment horizontal="center" vertical="center" wrapText="1"/>
    </xf>
    <xf numFmtId="0" fontId="19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3" fillId="16" borderId="16" xfId="0" applyFont="1" applyFill="1" applyBorder="1" applyAlignment="1">
      <alignment horizontal="left" vertical="center" wrapText="1"/>
    </xf>
    <xf numFmtId="0" fontId="33" fillId="16" borderId="0" xfId="0" applyFont="1" applyFill="1" applyBorder="1" applyAlignment="1">
      <alignment horizontal="left" vertical="center" wrapText="1"/>
    </xf>
    <xf numFmtId="0" fontId="10" fillId="12" borderId="14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center" vertical="center"/>
    </xf>
    <xf numFmtId="0" fontId="10" fillId="12" borderId="16" xfId="0" applyFont="1" applyFill="1" applyBorder="1" applyAlignment="1">
      <alignment horizontal="center" vertical="center"/>
    </xf>
    <xf numFmtId="0" fontId="10" fillId="12" borderId="0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center" vertical="center"/>
    </xf>
    <xf numFmtId="0" fontId="47" fillId="12" borderId="3" xfId="0" applyFont="1" applyFill="1" applyBorder="1" applyAlignment="1">
      <alignment horizontal="center" vertical="center" wrapText="1"/>
    </xf>
    <xf numFmtId="0" fontId="47" fillId="12" borderId="0" xfId="0" applyFont="1" applyFill="1" applyBorder="1" applyAlignment="1">
      <alignment horizontal="center" vertical="center" wrapText="1"/>
    </xf>
    <xf numFmtId="0" fontId="10" fillId="5" borderId="3" xfId="0" applyFont="1" applyFill="1" applyBorder="1" applyAlignment="1">
      <alignment horizontal="center" vertical="center"/>
    </xf>
    <xf numFmtId="2" fontId="48" fillId="6" borderId="0" xfId="0" applyNumberFormat="1" applyFont="1" applyFill="1" applyBorder="1" applyAlignment="1">
      <alignment horizontal="center" vertical="center" wrapText="1"/>
    </xf>
    <xf numFmtId="0" fontId="10" fillId="11" borderId="3" xfId="0" applyFont="1" applyFill="1" applyBorder="1" applyAlignment="1">
      <alignment horizontal="center" vertical="center"/>
    </xf>
    <xf numFmtId="2" fontId="4" fillId="6" borderId="0" xfId="0" applyNumberFormat="1" applyFont="1" applyFill="1" applyBorder="1" applyAlignment="1">
      <alignment horizontal="center" vertical="center" wrapText="1"/>
    </xf>
    <xf numFmtId="0" fontId="12" fillId="15" borderId="13" xfId="0" applyFont="1" applyFill="1" applyBorder="1" applyAlignment="1">
      <alignment horizontal="center" vertical="center" wrapText="1"/>
    </xf>
    <xf numFmtId="0" fontId="12" fillId="15" borderId="1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20" fillId="2" borderId="0" xfId="0" applyFont="1" applyFill="1" applyBorder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40" fillId="3" borderId="0" xfId="0" applyFont="1" applyFill="1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10" fillId="5" borderId="15" xfId="0" applyFont="1" applyFill="1" applyBorder="1" applyAlignment="1">
      <alignment horizontal="center" vertical="center"/>
    </xf>
    <xf numFmtId="2" fontId="5" fillId="6" borderId="17" xfId="0" applyNumberFormat="1" applyFont="1" applyFill="1" applyBorder="1" applyAlignment="1">
      <alignment horizontal="center" vertical="center" wrapText="1"/>
    </xf>
    <xf numFmtId="0" fontId="33" fillId="16" borderId="17" xfId="0" applyFont="1" applyFill="1" applyBorder="1" applyAlignment="1">
      <alignment horizontal="left" vertical="center" wrapText="1"/>
    </xf>
    <xf numFmtId="2" fontId="4" fillId="13" borderId="17" xfId="0" applyNumberFormat="1" applyFont="1" applyFill="1" applyBorder="1" applyAlignment="1">
      <alignment horizontal="center" vertical="center" wrapText="1"/>
    </xf>
    <xf numFmtId="0" fontId="36" fillId="15" borderId="55" xfId="0" applyFont="1" applyFill="1" applyBorder="1" applyAlignment="1">
      <alignment horizontal="center" vertical="center" wrapText="1"/>
    </xf>
    <xf numFmtId="0" fontId="20" fillId="2" borderId="17" xfId="0" applyFont="1" applyFill="1" applyBorder="1" applyAlignment="1">
      <alignment horizontal="center" vertical="center" wrapText="1"/>
    </xf>
    <xf numFmtId="0" fontId="18" fillId="2" borderId="17" xfId="0" applyFont="1" applyFill="1" applyBorder="1" applyAlignment="1">
      <alignment horizontal="center" vertical="center" wrapText="1"/>
    </xf>
    <xf numFmtId="0" fontId="19" fillId="2" borderId="17" xfId="0" applyFont="1" applyFill="1" applyBorder="1" applyAlignment="1">
      <alignment horizontal="center" vertical="center"/>
    </xf>
    <xf numFmtId="0" fontId="25" fillId="2" borderId="17" xfId="0" applyFont="1" applyFill="1" applyBorder="1" applyAlignment="1">
      <alignment horizontal="center" vertical="center"/>
    </xf>
    <xf numFmtId="2" fontId="5" fillId="6" borderId="57" xfId="0" applyNumberFormat="1" applyFont="1" applyFill="1" applyBorder="1" applyAlignment="1">
      <alignment horizontal="center" vertical="center" wrapText="1"/>
    </xf>
    <xf numFmtId="0" fontId="6" fillId="2" borderId="17" xfId="0" applyFont="1" applyFill="1" applyBorder="1" applyAlignment="1">
      <alignment horizontal="center" vertical="center"/>
    </xf>
    <xf numFmtId="0" fontId="11" fillId="14" borderId="77" xfId="0" applyFont="1" applyFill="1" applyBorder="1" applyAlignment="1">
      <alignment horizontal="left" vertical="center" wrapText="1" indent="1"/>
    </xf>
    <xf numFmtId="0" fontId="6" fillId="2" borderId="26" xfId="0" applyFont="1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97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FF0000"/>
      </font>
      <fill>
        <patternFill>
          <bgColor theme="3" tint="0.59996337778862885"/>
        </patternFill>
      </fill>
    </dxf>
    <dxf>
      <font>
        <color rgb="FFFF0000"/>
      </font>
      <fill>
        <patternFill>
          <bgColor theme="3" tint="0.59996337778862885"/>
        </patternFill>
      </fill>
    </dxf>
    <dxf>
      <font>
        <color rgb="FFFF0000"/>
      </font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FF0000"/>
      </font>
      <fill>
        <patternFill>
          <bgColor theme="3" tint="0.59996337778862885"/>
        </patternFill>
      </fill>
    </dxf>
    <dxf>
      <font>
        <color rgb="FFFF0000"/>
      </font>
      <fill>
        <patternFill>
          <bgColor theme="3" tint="0.79998168889431442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colors>
    <mruColors>
      <color rgb="FF0EA4B2"/>
      <color rgb="FF4E607A"/>
      <color rgb="FF0C8A96"/>
      <color rgb="FFACD1FE"/>
      <color rgb="FFE1F7FF"/>
      <color rgb="FFB1F2F9"/>
      <color rgb="FF12CCE0"/>
      <color rgb="FFFFFFFF"/>
      <color rgb="FFA9CEF4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031174596343289"/>
          <c:y val="0.11703083566167133"/>
          <c:w val="0.60076425470698858"/>
          <c:h val="0.57240519121908173"/>
        </c:manualLayout>
      </c:layout>
      <c:barChart>
        <c:barDir val="bar"/>
        <c:grouping val="percentStacked"/>
        <c:varyColors val="0"/>
        <c:ser>
          <c:idx val="0"/>
          <c:order val="0"/>
          <c:tx>
            <c:v>Selected drivers</c:v>
          </c:tx>
          <c:spPr>
            <a:solidFill>
              <a:srgbClr val="0EA4B2"/>
            </a:solidFill>
            <a:ln>
              <a:solidFill>
                <a:srgbClr val="4E607A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'Motiv inst'!$AO$8</c:f>
              <c:strCache>
                <c:ptCount val="1"/>
                <c:pt idx="0">
                  <c:v>Adoption drivers</c:v>
                </c:pt>
              </c:strCache>
            </c:strRef>
          </c:cat>
          <c:val>
            <c:numRef>
              <c:f>'Motiv inst'!$AR$8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A-485E-A685-8CBE7E59AB06}"/>
            </c:ext>
          </c:extLst>
        </c:ser>
        <c:ser>
          <c:idx val="1"/>
          <c:order val="1"/>
          <c:tx>
            <c:v>Non selected</c:v>
          </c:tx>
          <c:spPr>
            <a:solidFill>
              <a:schemeClr val="bg1">
                <a:lumMod val="95000"/>
              </a:schemeClr>
            </a:solidFill>
            <a:ln w="12700" cap="flat" cmpd="sng" algn="ctr">
              <a:solidFill>
                <a:schemeClr val="dk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'Motiv inst'!$AO$8</c:f>
              <c:strCache>
                <c:ptCount val="1"/>
                <c:pt idx="0">
                  <c:v>Adoption drivers</c:v>
                </c:pt>
              </c:strCache>
            </c:strRef>
          </c:cat>
          <c:val>
            <c:numRef>
              <c:f>'Motiv inst'!$AS$8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A-485E-A685-8CBE7E59A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52564080"/>
        <c:axId val="952561456"/>
      </c:barChart>
      <c:catAx>
        <c:axId val="952564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52561456"/>
        <c:crosses val="autoZero"/>
        <c:auto val="1"/>
        <c:lblAlgn val="ctr"/>
        <c:lblOffset val="100"/>
        <c:noMultiLvlLbl val="0"/>
      </c:catAx>
      <c:valAx>
        <c:axId val="952561456"/>
        <c:scaling>
          <c:orientation val="minMax"/>
          <c:max val="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952564080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940943319606758"/>
          <c:y val="0.82115275798957155"/>
          <c:w val="0.72648126821902059"/>
          <c:h val="0.16106202211335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C8A9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4-2FE2-420F-8BB1-866E4CAAA958}"/>
              </c:ext>
            </c:extLst>
          </c:dPt>
          <c:dPt>
            <c:idx val="1"/>
            <c:bubble3D val="0"/>
            <c:explosion val="3"/>
            <c:spPr>
              <a:solidFill>
                <a:srgbClr val="12CCE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2FE2-420F-8BB1-866E4CAAA958}"/>
              </c:ext>
            </c:extLst>
          </c:dPt>
          <c:dPt>
            <c:idx val="2"/>
            <c:bubble3D val="0"/>
            <c:explosion val="8"/>
            <c:spPr>
              <a:solidFill>
                <a:srgbClr val="E1F7FF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2FE2-420F-8BB1-866E4CAAA958}"/>
              </c:ext>
            </c:extLst>
          </c:dPt>
          <c:dPt>
            <c:idx val="3"/>
            <c:bubble3D val="0"/>
            <c:explosion val="13"/>
            <c:spPr>
              <a:solidFill>
                <a:srgbClr val="ACD1FE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2FE2-420F-8BB1-866E4CAAA958}"/>
              </c:ext>
            </c:extLst>
          </c:dPt>
          <c:dLbls>
            <c:dLbl>
              <c:idx val="0"/>
              <c:layout>
                <c:manualLayout>
                  <c:x val="0.1662708170190095"/>
                  <c:y val="4.2042038065589551E-3"/>
                </c:manualLayout>
              </c:layout>
              <c:spPr>
                <a:noFill/>
                <a:ln>
                  <a:solidFill>
                    <a:srgbClr val="4E607A"/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0C8A9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2FE2-420F-8BB1-866E4CAAA958}"/>
                </c:ext>
              </c:extLst>
            </c:dLbl>
            <c:dLbl>
              <c:idx val="1"/>
              <c:layout>
                <c:manualLayout>
                  <c:x val="-2.4386386496121393E-2"/>
                  <c:y val="0.19339337510171209"/>
                </c:manualLayout>
              </c:layout>
              <c:spPr>
                <a:noFill/>
                <a:ln>
                  <a:solidFill>
                    <a:srgbClr val="4E607A"/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0C8A9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3-2FE2-420F-8BB1-866E4CAAA958}"/>
                </c:ext>
              </c:extLst>
            </c:dLbl>
            <c:dLbl>
              <c:idx val="2"/>
              <c:layout>
                <c:manualLayout>
                  <c:x val="8.867776907680508E-3"/>
                  <c:y val="0.30690687787880355"/>
                </c:manualLayout>
              </c:layout>
              <c:spPr>
                <a:noFill/>
                <a:ln>
                  <a:solidFill>
                    <a:srgbClr val="4E607A"/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0C8A9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2-2FE2-420F-8BB1-866E4CAAA958}"/>
                </c:ext>
              </c:extLst>
            </c:dLbl>
            <c:dLbl>
              <c:idx val="3"/>
              <c:layout>
                <c:manualLayout>
                  <c:x val="-0.3879652397110222"/>
                  <c:y val="8.4084076131179103E-3"/>
                </c:manualLayout>
              </c:layout>
              <c:spPr>
                <a:noFill/>
                <a:ln>
                  <a:solidFill>
                    <a:srgbClr val="4E607A"/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0C8A9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FE2-420F-8BB1-866E4CAAA958}"/>
                </c:ext>
              </c:extLst>
            </c:dLbl>
            <c:spPr>
              <a:noFill/>
              <a:ln>
                <a:solidFill>
                  <a:srgbClr val="4E607A"/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C8A96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'Motiv inst'!$AT$4:$AT$7</c:f>
              <c:strCache>
                <c:ptCount val="4"/>
                <c:pt idx="0">
                  <c:v>Strength-based drivers</c:v>
                </c:pt>
                <c:pt idx="1">
                  <c:v>Opportunity-based drivers</c:v>
                </c:pt>
                <c:pt idx="2">
                  <c:v>Weakness-based drivers</c:v>
                </c:pt>
                <c:pt idx="3">
                  <c:v>Threat-based drivers</c:v>
                </c:pt>
              </c:strCache>
            </c:strRef>
          </c:cat>
          <c:val>
            <c:numRef>
              <c:f>'Motiv inst'!$AU$4:$AU$7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E2-420F-8BB1-866E4CAAA958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2004956767263755"/>
          <c:y val="6.1286871465688522E-2"/>
          <c:w val="0.38946622190330904"/>
          <c:h val="0.8217732032654008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'1.Motiv instFistV'!$AC$4</c:f>
              <c:strCache>
                <c:ptCount val="1"/>
                <c:pt idx="0">
                  <c:v>Match %</c:v>
                </c:pt>
              </c:strCache>
            </c:strRef>
          </c:tx>
          <c:spPr>
            <a:solidFill>
              <a:srgbClr val="0C8A9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3228322363482684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5A-4805-A359-539B74719B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'1.Motiv instFistV'!$AB$5:$AB$10</c:f>
              <c:strCache>
                <c:ptCount val="6"/>
                <c:pt idx="0">
                  <c:v>Reuse opportunities</c:v>
                </c:pt>
                <c:pt idx="1">
                  <c:v>Discomfort - lack of systematic and planned reuse among products</c:v>
                </c:pt>
                <c:pt idx="2">
                  <c:v>Discomfort - product quality weaknesses</c:v>
                </c:pt>
                <c:pt idx="3">
                  <c:v>Discomfort - management problems</c:v>
                </c:pt>
                <c:pt idx="4">
                  <c:v>Organizational challenges</c:v>
                </c:pt>
                <c:pt idx="5">
                  <c:v>Organizational opportunities</c:v>
                </c:pt>
              </c:strCache>
            </c:strRef>
          </c:cat>
          <c:val>
            <c:numRef>
              <c:f>'1.Motiv instFistV'!$AC$5:$AC$10</c:f>
              <c:numCache>
                <c:formatCode>0%</c:formatCode>
                <c:ptCount val="6"/>
                <c:pt idx="0">
                  <c:v>0.4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5A-4805-A359-539B74719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44861424"/>
        <c:axId val="844860112"/>
      </c:barChart>
      <c:catAx>
        <c:axId val="844861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44860112"/>
        <c:crosses val="autoZero"/>
        <c:auto val="1"/>
        <c:lblAlgn val="ctr"/>
        <c:lblOffset val="100"/>
        <c:noMultiLvlLbl val="0"/>
      </c:catAx>
      <c:valAx>
        <c:axId val="844860112"/>
        <c:scaling>
          <c:orientation val="minMax"/>
          <c:max val="1"/>
        </c:scaling>
        <c:delete val="1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84486142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8100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2004956767263755"/>
          <c:y val="6.1286871465688522E-2"/>
          <c:w val="0.38946622190330904"/>
          <c:h val="0.8217732032654008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'1.Motiv instFistV'!$AC$4</c:f>
              <c:strCache>
                <c:ptCount val="1"/>
                <c:pt idx="0">
                  <c:v>Match %</c:v>
                </c:pt>
              </c:strCache>
            </c:strRef>
          </c:tx>
          <c:spPr>
            <a:solidFill>
              <a:srgbClr val="0C8A9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-1.3228322363482684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F7-49EC-98AF-E99BF1595A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'1.Motiv instFistV'!$AB$5:$AB$10</c:f>
              <c:strCache>
                <c:ptCount val="6"/>
                <c:pt idx="0">
                  <c:v>Reuse opportunities</c:v>
                </c:pt>
                <c:pt idx="1">
                  <c:v>Discomfort - lack of systematic and planned reuse among products</c:v>
                </c:pt>
                <c:pt idx="2">
                  <c:v>Discomfort - product quality weaknesses</c:v>
                </c:pt>
                <c:pt idx="3">
                  <c:v>Discomfort - management problems</c:v>
                </c:pt>
                <c:pt idx="4">
                  <c:v>Organizational challenges</c:v>
                </c:pt>
                <c:pt idx="5">
                  <c:v>Organizational opportunities</c:v>
                </c:pt>
              </c:strCache>
            </c:strRef>
          </c:cat>
          <c:val>
            <c:numRef>
              <c:f>'1.Motiv instFistV'!$AC$5:$AC$10</c:f>
              <c:numCache>
                <c:formatCode>0%</c:formatCode>
                <c:ptCount val="6"/>
                <c:pt idx="0">
                  <c:v>0.4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7-49EC-98AF-E99BF1595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844861424"/>
        <c:axId val="844860112"/>
      </c:barChart>
      <c:catAx>
        <c:axId val="844861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44860112"/>
        <c:crosses val="autoZero"/>
        <c:auto val="1"/>
        <c:lblAlgn val="ctr"/>
        <c:lblOffset val="100"/>
        <c:noMultiLvlLbl val="0"/>
      </c:catAx>
      <c:valAx>
        <c:axId val="844860112"/>
        <c:scaling>
          <c:orientation val="minMax"/>
          <c:max val="1"/>
        </c:scaling>
        <c:delete val="1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84486142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38100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883024343204256E-2"/>
          <c:y val="7.4278195413939541E-2"/>
          <c:w val="0.7675087821341926"/>
          <c:h val="0.81125302744775452"/>
        </c:manualLayout>
      </c:layout>
      <c:scatterChart>
        <c:scatterStyle val="lineMarker"/>
        <c:varyColors val="0"/>
        <c:ser>
          <c:idx val="0"/>
          <c:order val="0"/>
          <c:tx>
            <c:strRef>
              <c:f>'Preparation grid'!$AB$4</c:f>
              <c:strCache>
                <c:ptCount val="1"/>
                <c:pt idx="0">
                  <c:v>Readiness to do investments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42-4EDB-A939-4DB7956180BE}"/>
              </c:ext>
            </c:extLst>
          </c:dPt>
          <c:dLbls>
            <c:dLbl>
              <c:idx val="0"/>
              <c:layout>
                <c:manualLayout>
                  <c:x val="6.0077903281882941E-3"/>
                  <c:y val="0.19394655135614466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50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noAutofit/>
                </a:bodyPr>
                <a:lstStyle/>
                <a:p>
                  <a:pPr algn="ctr">
                    <a:defRPr lang="es-419"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7293508512058958"/>
                      <c:h val="0.1263097799519726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bg1">
                    <a:lumMod val="50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419"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'Preparation grid'!$AD$4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2-4EDB-A939-4DB7956180BE}"/>
            </c:ext>
          </c:extLst>
        </c:ser>
        <c:ser>
          <c:idx val="1"/>
          <c:order val="1"/>
          <c:tx>
            <c:strRef>
              <c:f>'Preparation grid'!$AB$5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B42-4EDB-A939-4DB7956180BE}"/>
              </c:ext>
            </c:extLst>
          </c:dPt>
          <c:dLbls>
            <c:dLbl>
              <c:idx val="0"/>
              <c:layout>
                <c:manualLayout>
                  <c:x val="-0.21393728927303757"/>
                  <c:y val="-5.35840165843385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5646451701582323"/>
                      <c:h val="0.114025121564327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42-4EDB-A939-4DB7956180BE}"/>
            </c:ext>
          </c:extLst>
        </c:ser>
        <c:ser>
          <c:idx val="2"/>
          <c:order val="2"/>
          <c:tx>
            <c:strRef>
              <c:f>'Preparation grid'!$AB$7</c:f>
              <c:strCache>
                <c:ptCount val="1"/>
                <c:pt idx="0">
                  <c:v>Opennes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B42-4EDB-A939-4DB7956180BE}"/>
              </c:ext>
            </c:extLst>
          </c:dPt>
          <c:dLbls>
            <c:dLbl>
              <c:idx val="0"/>
              <c:layout>
                <c:manualLayout>
                  <c:x val="4.4544820319631792E-2"/>
                  <c:y val="4.229451301246115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7252487028574051"/>
                      <c:h val="0.126475342275126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grid'!$AE$7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grid'!$AD$7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B42-4EDB-A939-4DB7956180BE}"/>
            </c:ext>
          </c:extLst>
        </c:ser>
        <c:ser>
          <c:idx val="4"/>
          <c:order val="3"/>
          <c:tx>
            <c:strRef>
              <c:f>'Preparation grid'!$AB$9</c:f>
              <c:strCache>
                <c:ptCount val="1"/>
                <c:pt idx="0">
                  <c:v>Process discipline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BB42-4EDB-A939-4DB7956180BE}"/>
              </c:ext>
            </c:extLst>
          </c:dPt>
          <c:dLbls>
            <c:dLbl>
              <c:idx val="0"/>
              <c:layout>
                <c:manualLayout>
                  <c:x val="0.15670287601458893"/>
                  <c:y val="0.1450097588998669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B42-4EDB-A939-4DB7956180BE}"/>
            </c:ext>
          </c:extLst>
        </c:ser>
        <c:ser>
          <c:idx val="5"/>
          <c:order val="4"/>
          <c:tx>
            <c:strRef>
              <c:f>'Preparation grid'!$AB$10</c:f>
              <c:strCache>
                <c:ptCount val="1"/>
                <c:pt idx="0">
                  <c:v>Commitment of key actors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BB42-4EDB-A939-4DB7956180BE}"/>
              </c:ext>
            </c:extLst>
          </c:dPt>
          <c:dLbls>
            <c:dLbl>
              <c:idx val="0"/>
              <c:layout>
                <c:manualLayout>
                  <c:x val="2.0567786682047826E-2"/>
                  <c:y val="-5.7485336870330708E-2"/>
                </c:manualLayout>
              </c:layout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2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9121166611230012"/>
                      <c:h val="0.101943211332394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grid'!$AE$10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B42-4EDB-A939-4DB7956180BE}"/>
            </c:ext>
          </c:extLst>
        </c:ser>
        <c:ser>
          <c:idx val="6"/>
          <c:order val="5"/>
          <c:tx>
            <c:strRef>
              <c:f>'Preparation grid'!$AB$8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BB42-4EDB-A939-4DB7956180BE}"/>
              </c:ext>
            </c:extLst>
          </c:dPt>
          <c:dLbls>
            <c:dLbl>
              <c:idx val="0"/>
              <c:layout>
                <c:manualLayout>
                  <c:x val="0.22077313044251651"/>
                  <c:y val="5.6888212422895608E-2"/>
                </c:manualLayout>
              </c:layout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3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B42-4EDB-A939-4DB7956180BE}"/>
            </c:ext>
          </c:extLst>
        </c:ser>
        <c:ser>
          <c:idx val="7"/>
          <c:order val="6"/>
          <c:tx>
            <c:strRef>
              <c:f>'Preparation grid'!$AB$12</c:f>
              <c:strCache>
                <c:ptCount val="1"/>
                <c:pt idx="0">
                  <c:v>Organizational williness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BB42-4EDB-A939-4DB7956180BE}"/>
              </c:ext>
            </c:extLst>
          </c:dPt>
          <c:dLbls>
            <c:dLbl>
              <c:idx val="0"/>
              <c:layout>
                <c:manualLayout>
                  <c:x val="0.13585410263038744"/>
                  <c:y val="7.8390788417516719E-2"/>
                </c:manualLayout>
              </c:layout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6-BB42-4EDB-A939-4DB7956180BE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grid'!$AE$12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B42-4EDB-A939-4DB7956180BE}"/>
            </c:ext>
          </c:extLst>
        </c:ser>
        <c:ser>
          <c:idx val="8"/>
          <c:order val="7"/>
          <c:tx>
            <c:strRef>
              <c:f>'Preparation grid'!$AB$13</c:f>
              <c:strCache>
                <c:ptCount val="1"/>
                <c:pt idx="0">
                  <c:v>Product line awareness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0-BB42-4EDB-A939-4DB7956180BE}"/>
              </c:ext>
            </c:extLst>
          </c:dPt>
          <c:dLbls>
            <c:dLbl>
              <c:idx val="0"/>
              <c:layout>
                <c:manualLayout>
                  <c:x val="0.10408992897669961"/>
                  <c:y val="0.10073637834588706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65000"/>
                    </a:sysClr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900">
                      <a:solidFill>
                        <a:schemeClr val="bg2">
                          <a:lumMod val="50000"/>
                        </a:schemeClr>
                      </a:solidFill>
                    </a:defRPr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BB42-4EDB-A939-4DB7956180BE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'Preparation grid'!$AE$13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B42-4EDB-A939-4DB7956180BE}"/>
            </c:ext>
          </c:extLst>
        </c:ser>
        <c:ser>
          <c:idx val="9"/>
          <c:order val="8"/>
          <c:tx>
            <c:strRef>
              <c:f>'Preparation grid'!$AB$14</c:f>
              <c:strCache>
                <c:ptCount val="1"/>
                <c:pt idx="0">
                  <c:v> Degree of control over product specification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1-BB42-4EDB-A939-4DB7956180BE}"/>
              </c:ext>
            </c:extLst>
          </c:dPt>
          <c:dLbls>
            <c:dLbl>
              <c:idx val="0"/>
              <c:layout>
                <c:manualLayout>
                  <c:x val="-7.6305390721642288E-2"/>
                  <c:y val="-0.14925685180938944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tx1">
                        <a:lumMod val="65000"/>
                        <a:lumOff val="35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grid'!$AE$14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'Preparation grid'!$AD$14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B42-4EDB-A939-4DB7956180BE}"/>
            </c:ext>
          </c:extLst>
        </c:ser>
        <c:ser>
          <c:idx val="10"/>
          <c:order val="9"/>
          <c:tx>
            <c:strRef>
              <c:f>'Preparation grid'!$AB$15</c:f>
              <c:strCache>
                <c:ptCount val="1"/>
                <c:pt idx="0">
                  <c:v>Potential products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2-BB42-4EDB-A939-4DB7956180BE}"/>
              </c:ext>
            </c:extLst>
          </c:dPt>
          <c:dLbls>
            <c:dLbl>
              <c:idx val="0"/>
              <c:layout>
                <c:manualLayout>
                  <c:x val="-0.19294721760865374"/>
                  <c:y val="1.7066716145062093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grid'!$AE$15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grid'!$AD$15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B42-4EDB-A939-4DB7956180BE}"/>
            </c:ext>
          </c:extLst>
        </c:ser>
        <c:ser>
          <c:idx val="11"/>
          <c:order val="10"/>
          <c:tx>
            <c:strRef>
              <c:f>'Preparation grid'!$AB$16</c:f>
              <c:strCache>
                <c:ptCount val="1"/>
                <c:pt idx="0">
                  <c:v>Customers connection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3-BB42-4EDB-A939-4DB7956180BE}"/>
              </c:ext>
            </c:extLst>
          </c:dPt>
          <c:dLbls>
            <c:dLbl>
              <c:idx val="0"/>
              <c:layout>
                <c:manualLayout>
                  <c:x val="-0.24989489210724589"/>
                  <c:y val="-7.5506151332834587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'Preparation grid'!$AD$16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B42-4EDB-A939-4DB7956180BE}"/>
            </c:ext>
          </c:extLst>
        </c:ser>
        <c:ser>
          <c:idx val="12"/>
          <c:order val="11"/>
          <c:tx>
            <c:strRef>
              <c:f>'Preparation grid'!$AB$17</c:f>
              <c:strCache>
                <c:ptCount val="1"/>
                <c:pt idx="0">
                  <c:v>Commonality and variability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4-BB42-4EDB-A939-4DB7956180BE}"/>
              </c:ext>
            </c:extLst>
          </c:dPt>
          <c:dLbls>
            <c:dLbl>
              <c:idx val="0"/>
              <c:layout>
                <c:manualLayout>
                  <c:x val="-9.981287487982303E-2"/>
                  <c:y val="-0.10615922766127757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900"/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BB42-4EDB-A939-4DB7956180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'Preparation grid'!$AE$17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B42-4EDB-A939-4DB7956180BE}"/>
            </c:ext>
          </c:extLst>
        </c:ser>
        <c:ser>
          <c:idx val="13"/>
          <c:order val="12"/>
          <c:tx>
            <c:strRef>
              <c:f>'Preparation grid'!$AB$18</c:f>
              <c:strCache>
                <c:ptCount val="1"/>
                <c:pt idx="0">
                  <c:v>Software engineering capability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5-BB42-4EDB-A939-4DB7956180BE}"/>
              </c:ext>
            </c:extLst>
          </c:dPt>
          <c:dLbls>
            <c:dLbl>
              <c:idx val="0"/>
              <c:layout>
                <c:manualLayout>
                  <c:x val="-0.19344481548524592"/>
                  <c:y val="5.1561721324831555E-2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tx1">
                        <a:lumMod val="65000"/>
                        <a:lumOff val="35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grid'!$AE$18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B42-4EDB-A939-4DB7956180BE}"/>
            </c:ext>
          </c:extLst>
        </c:ser>
        <c:ser>
          <c:idx val="14"/>
          <c:order val="13"/>
          <c:tx>
            <c:strRef>
              <c:f>'Preparation grid'!$AB$19</c:f>
              <c:strCache>
                <c:ptCount val="1"/>
                <c:pt idx="0">
                  <c:v>Reuse potential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6-BB42-4EDB-A939-4DB7956180BE}"/>
              </c:ext>
            </c:extLst>
          </c:dPt>
          <c:dLbls>
            <c:dLbl>
              <c:idx val="0"/>
              <c:layout>
                <c:manualLayout>
                  <c:x val="5.3101423006289415E-2"/>
                  <c:y val="0.17341028629050254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" lastClr="FFFFFF">
                    <a:lumMod val="65000"/>
                  </a:sys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B42-4EDB-A939-4DB7956180BE}"/>
            </c:ext>
          </c:extLst>
        </c:ser>
        <c:ser>
          <c:idx val="15"/>
          <c:order val="14"/>
          <c:tx>
            <c:strRef>
              <c:f>'Preparation grid'!$AB$20</c:f>
              <c:strCache>
                <c:ptCount val="1"/>
                <c:pt idx="0">
                  <c:v>Reuse aptitute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7-BB42-4EDB-A939-4DB7956180BE}"/>
              </c:ext>
            </c:extLst>
          </c:dPt>
          <c:dLbls>
            <c:dLbl>
              <c:idx val="0"/>
              <c:layout>
                <c:manualLayout>
                  <c:x val="-0.26402991879325582"/>
                  <c:y val="4.7386063464817003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65000"/>
                    </a:sysClr>
                  </a:solidFill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 sz="90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</a:defRPr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  <c15:layout>
                    <c:manualLayout>
                      <c:w val="0.16114700151197855"/>
                      <c:h val="9.362437088191109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7-BB42-4EDB-A939-4DB7956180B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tx1">
                        <a:lumMod val="65000"/>
                        <a:lumOff val="35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'Preparation grid'!$AE$20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grid'!$AD$20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B42-4EDB-A939-4DB7956180BE}"/>
            </c:ext>
          </c:extLst>
        </c:ser>
        <c:ser>
          <c:idx val="3"/>
          <c:order val="15"/>
          <c:tx>
            <c:strRef>
              <c:f>'Preparation grid'!$AB$6</c:f>
              <c:strCache>
                <c:ptCount val="1"/>
                <c:pt idx="0">
                  <c:v>Readiness to pay migration costs</c:v>
                </c:pt>
              </c:strCache>
            </c:strRef>
          </c:tx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>
                  <a:solidFill>
                    <a:srgbClr val="E7E6E6"/>
                  </a:solidFill>
                </a:ln>
              </c:spPr>
            </c:marker>
            <c:bubble3D val="0"/>
            <c:spPr>
              <a:ln>
                <a:solidFill>
                  <a:srgbClr val="E7E6E6"/>
                </a:solidFill>
              </a:ln>
            </c:spPr>
            <c:extLst>
              <c:ext xmlns:c16="http://schemas.microsoft.com/office/drawing/2014/chart" uri="{C3380CC4-5D6E-409C-BE32-E72D297353CC}">
                <c16:uniqueId val="{00000029-BB42-4EDB-A939-4DB7956180BE}"/>
              </c:ext>
            </c:extLst>
          </c:dPt>
          <c:dLbls>
            <c:dLbl>
              <c:idx val="0"/>
              <c:layout>
                <c:manualLayout>
                  <c:x val="-0.22755019624880976"/>
                  <c:y val="4.417734428535342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65000"/>
                    </a:sysClr>
                  </a:solidFill>
                </a:ln>
                <a:effectLst/>
              </c:spPr>
              <c:txPr>
                <a:bodyPr/>
                <a:lstStyle/>
                <a:p>
                  <a:pPr>
                    <a:defRPr sz="900">
                      <a:solidFill>
                        <a:schemeClr val="bg2">
                          <a:lumMod val="50000"/>
                        </a:schemeClr>
                      </a:solidFill>
                    </a:defRPr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9-BB42-4EDB-A939-4DB7956180BE}"/>
                </c:ext>
              </c:extLst>
            </c:dLbl>
            <c:spPr>
              <a:noFill/>
              <a:ln>
                <a:solidFill>
                  <a:schemeClr val="bg1">
                    <a:lumMod val="65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bg2">
                        <a:lumMod val="50000"/>
                      </a:schemeClr>
                    </a:solidFill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'Preparation grid'!$AE$6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B42-4EDB-A939-4DB7956180B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1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 i="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effectLst/>
                  </a:rPr>
                  <a:t>Relative importance</a:t>
                </a:r>
                <a:endParaRPr lang="es-419" sz="900">
                  <a:solidFill>
                    <a:schemeClr val="tx1">
                      <a:lumMod val="65000"/>
                      <a:lumOff val="35000"/>
                    </a:schemeClr>
                  </a:solidFill>
                  <a:effectLst/>
                </a:endParaRPr>
              </a:p>
            </c:rich>
          </c:tx>
          <c:layout>
            <c:manualLayout>
              <c:xMode val="edge"/>
              <c:yMode val="edge"/>
              <c:x val="0.26043480312605838"/>
              <c:y val="0.94192753481687108"/>
            </c:manualLayout>
          </c:layout>
          <c:overlay val="0"/>
        </c:title>
        <c:numFmt formatCode="General" sourceLinked="1"/>
        <c:majorTickMark val="none"/>
        <c:minorTickMark val="none"/>
        <c:tickLblPos val="low"/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2.9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2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2800" b="1"/>
                  <a:t>Weaknesses</a:t>
                </a:r>
              </a:p>
            </c:rich>
          </c:tx>
          <c:layout>
            <c:manualLayout>
              <c:xMode val="edge"/>
              <c:yMode val="edge"/>
              <c:x val="0.90455410873190045"/>
              <c:y val="0.264936542401061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>
                <a:solidFill>
                  <a:schemeClr val="tx1">
                    <a:lumMod val="95000"/>
                    <a:lumOff val="5000"/>
                  </a:schemeClr>
                </a:solidFill>
              </a:rPr>
              <a:t>External criteria</a:t>
            </a:r>
          </a:p>
        </c:rich>
      </c:tx>
      <c:layout>
        <c:manualLayout>
          <c:xMode val="edge"/>
          <c:yMode val="edge"/>
          <c:x val="2.0486635534553814E-3"/>
          <c:y val="5.656095688025862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8060650804128364"/>
          <c:y val="0.15255634191129974"/>
          <c:w val="0.76269944867403683"/>
          <c:h val="0.76336629956949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'Preparation grid'!$AB$11</c:f>
              <c:strCache>
                <c:ptCount val="1"/>
                <c:pt idx="0">
                  <c:v>Market 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08-48C5-806B-E7A558EB180D}"/>
              </c:ext>
            </c:extLst>
          </c:dPt>
          <c:dLbls>
            <c:dLbl>
              <c:idx val="0"/>
              <c:layout>
                <c:manualLayout>
                  <c:x val="-0.1111283270736947"/>
                  <c:y val="0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C08-48C5-806B-E7A558EB180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grid'!$AE$11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08-48C5-806B-E7A558EB180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1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t" anchorCtr="0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Relative importance</a:t>
                </a:r>
              </a:p>
            </c:rich>
          </c:tx>
          <c:layout>
            <c:manualLayout>
              <c:xMode val="edge"/>
              <c:yMode val="edge"/>
              <c:x val="0.42439156506688447"/>
              <c:y val="5.638948223548492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t" anchorCtr="0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high"/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 algn="r">
                  <a:defRPr sz="2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2800" b="1"/>
                  <a:t>Opportunities</a:t>
                </a:r>
              </a:p>
            </c:rich>
          </c:tx>
          <c:layout>
            <c:manualLayout>
              <c:xMode val="edge"/>
              <c:yMode val="edge"/>
              <c:x val="1.0302303970516779E-2"/>
              <c:y val="0.283009758343155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 algn="r">
                <a:defRPr sz="2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45389868824742"/>
          <c:y val="6.8007003825894502E-2"/>
          <c:w val="0.78379236966737242"/>
          <c:h val="0.79847468760942641"/>
        </c:manualLayout>
      </c:layout>
      <c:scatterChart>
        <c:scatterStyle val="lineMarker"/>
        <c:varyColors val="0"/>
        <c:ser>
          <c:idx val="0"/>
          <c:order val="0"/>
          <c:tx>
            <c:strRef>
              <c:f>'Preparation grid'!$AB$8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57E-4258-9CFA-A44D5DD56B0D}"/>
              </c:ext>
            </c:extLst>
          </c:dPt>
          <c:dLbls>
            <c:dLbl>
              <c:idx val="0"/>
              <c:layout>
                <c:manualLayout>
                  <c:x val="-0.11573053803013239"/>
                  <c:y val="-3.021036643747227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57E-4258-9CFA-A44D5DD56B0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7E-4258-9CFA-A44D5DD56B0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1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Relative importance</a:t>
                </a:r>
              </a:p>
            </c:rich>
          </c:tx>
          <c:layout>
            <c:manualLayout>
              <c:xMode val="edge"/>
              <c:yMode val="edge"/>
              <c:x val="0.38101295611081742"/>
              <c:y val="0.921440434865667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low"/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2.8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2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2800" b="1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360877906629640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2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419" sz="1400" b="1">
                <a:solidFill>
                  <a:schemeClr val="tx1"/>
                </a:solidFill>
              </a:rPr>
              <a:t>Internal criteria</a:t>
            </a:r>
          </a:p>
        </c:rich>
      </c:tx>
      <c:layout>
        <c:manualLayout>
          <c:xMode val="edge"/>
          <c:yMode val="edge"/>
          <c:x val="0.74735938840472071"/>
          <c:y val="4.608232293217154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6679611366087746E-2"/>
          <c:y val="0.1402314464245458"/>
          <c:w val="0.72726555858281161"/>
          <c:h val="0.76191095516929774"/>
        </c:manualLayout>
      </c:layout>
      <c:scatterChart>
        <c:scatterStyle val="lineMarker"/>
        <c:varyColors val="0"/>
        <c:ser>
          <c:idx val="0"/>
          <c:order val="0"/>
          <c:tx>
            <c:strRef>
              <c:f>'Preparation grid'!$AB$4</c:f>
              <c:strCache>
                <c:ptCount val="1"/>
                <c:pt idx="0">
                  <c:v>Readiness to do investments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5-59B8-4FC4-BB45-94FF6213698B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'Preparation grid'!$AD$4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9B8-4FC4-BB45-94FF6213698B}"/>
            </c:ext>
          </c:extLst>
        </c:ser>
        <c:ser>
          <c:idx val="1"/>
          <c:order val="1"/>
          <c:tx>
            <c:strRef>
              <c:f>'Preparation grid'!$AB$5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6-59B8-4FC4-BB45-94FF6213698B}"/>
              </c:ext>
            </c:extLst>
          </c:dPt>
          <c:dLbls>
            <c:dLbl>
              <c:idx val="0"/>
              <c:layout>
                <c:manualLayout>
                  <c:x val="-0.17973368739577844"/>
                  <c:y val="-7.767032059516175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9B8-4FC4-BB45-94FF6213698B}"/>
            </c:ext>
          </c:extLst>
        </c:ser>
        <c:ser>
          <c:idx val="2"/>
          <c:order val="2"/>
          <c:tx>
            <c:strRef>
              <c:f>'Preparation grid'!$AB$7</c:f>
              <c:strCache>
                <c:ptCount val="1"/>
                <c:pt idx="0">
                  <c:v>Opennes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7-59B8-4FC4-BB45-94FF6213698B}"/>
              </c:ext>
            </c:extLst>
          </c:dPt>
          <c:dLbls>
            <c:dLbl>
              <c:idx val="0"/>
              <c:layout>
                <c:manualLayout>
                  <c:x val="9.9589957465261142E-2"/>
                  <c:y val="4.96053855626497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7-59B8-4FC4-BB45-94FF621369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'Preparation grid'!$AE$7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grid'!$AD$7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9B8-4FC4-BB45-94FF6213698B}"/>
            </c:ext>
          </c:extLst>
        </c:ser>
        <c:ser>
          <c:idx val="4"/>
          <c:order val="3"/>
          <c:tx>
            <c:strRef>
              <c:f>'Preparation grid'!$AB$9</c:f>
              <c:strCache>
                <c:ptCount val="1"/>
                <c:pt idx="0">
                  <c:v>Process discipline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8-59B8-4FC4-BB45-94FF6213698B}"/>
              </c:ext>
            </c:extLst>
          </c:dPt>
          <c:dLbls>
            <c:dLbl>
              <c:idx val="0"/>
              <c:layout>
                <c:manualLayout>
                  <c:x val="0.13924885851300595"/>
                  <c:y val="4.785881721077779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8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'Preparation grid'!$AE$9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9B8-4FC4-BB45-94FF6213698B}"/>
            </c:ext>
          </c:extLst>
        </c:ser>
        <c:ser>
          <c:idx val="3"/>
          <c:order val="4"/>
          <c:tx>
            <c:strRef>
              <c:f>'Preparation grid'!$AB$10</c:f>
              <c:strCache>
                <c:ptCount val="1"/>
                <c:pt idx="0">
                  <c:v>Commitment of key actors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9-59B8-4FC4-BB45-94FF6213698B}"/>
              </c:ext>
            </c:extLst>
          </c:dPt>
          <c:dLbls>
            <c:dLbl>
              <c:idx val="0"/>
              <c:layout>
                <c:manualLayout>
                  <c:x val="0.1096714318965902"/>
                  <c:y val="-8.2192937943296896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grid'!$AE$10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9B8-4FC4-BB45-94FF6213698B}"/>
            </c:ext>
          </c:extLst>
        </c:ser>
        <c:ser>
          <c:idx val="6"/>
          <c:order val="5"/>
          <c:tx>
            <c:strRef>
              <c:f>'Preparation grid'!$AB$12</c:f>
              <c:strCache>
                <c:ptCount val="1"/>
                <c:pt idx="0">
                  <c:v>Organizational williness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B-59B8-4FC4-BB45-94FF6213698B}"/>
              </c:ext>
            </c:extLst>
          </c:dPt>
          <c:dLbls>
            <c:dLbl>
              <c:idx val="0"/>
              <c:layout>
                <c:manualLayout>
                  <c:x val="2.365472689716621E-2"/>
                  <c:y val="8.0348607512235794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5804523549234051"/>
                      <c:h val="0.1174827392843743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B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9B8-4FC4-BB45-94FF6213698B}"/>
            </c:ext>
          </c:extLst>
        </c:ser>
        <c:ser>
          <c:idx val="7"/>
          <c:order val="6"/>
          <c:tx>
            <c:strRef>
              <c:f>'Preparation grid'!$AB$13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C-59B8-4FC4-BB45-94FF6213698B}"/>
              </c:ext>
            </c:extLst>
          </c:dPt>
          <c:dLbls>
            <c:dLbl>
              <c:idx val="0"/>
              <c:layout>
                <c:manualLayout>
                  <c:x val="0.13676180433051127"/>
                  <c:y val="8.3026894429310841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2C-59B8-4FC4-BB45-94FF621369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'Preparation grid'!$AE$13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9B8-4FC4-BB45-94FF6213698B}"/>
            </c:ext>
          </c:extLst>
        </c:ser>
        <c:ser>
          <c:idx val="8"/>
          <c:order val="7"/>
          <c:tx>
            <c:strRef>
              <c:f>'Preparation grid'!$AB$14</c:f>
              <c:strCache>
                <c:ptCount val="1"/>
                <c:pt idx="0">
                  <c:v> Degree of control over product specification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F-59B8-4FC4-BB45-94FF6213698B}"/>
              </c:ext>
            </c:extLst>
          </c:dPt>
          <c:dLbls>
            <c:dLbl>
              <c:idx val="0"/>
              <c:layout>
                <c:manualLayout>
                  <c:x val="4.3915734946130845E-2"/>
                  <c:y val="-6.1600599092714488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'Preparation grid'!$AD$14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9B8-4FC4-BB45-94FF6213698B}"/>
            </c:ext>
          </c:extLst>
        </c:ser>
        <c:ser>
          <c:idx val="9"/>
          <c:order val="8"/>
          <c:tx>
            <c:strRef>
              <c:f>'Preparation grid'!$AB$15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1-59B8-4FC4-BB45-94FF6213698B}"/>
              </c:ext>
            </c:extLst>
          </c:dPt>
          <c:dLbls>
            <c:dLbl>
              <c:idx val="0"/>
              <c:layout>
                <c:manualLayout>
                  <c:x val="-0.23034171302470785"/>
                  <c:y val="-4.326048928990879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grid'!$AE$15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grid'!$AD$15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9B8-4FC4-BB45-94FF6213698B}"/>
            </c:ext>
          </c:extLst>
        </c:ser>
        <c:ser>
          <c:idx val="10"/>
          <c:order val="9"/>
          <c:tx>
            <c:strRef>
              <c:f>'Preparation grid'!$AB$16</c:f>
              <c:strCache>
                <c:ptCount val="1"/>
                <c:pt idx="0">
                  <c:v>Customers connection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E-59B8-4FC4-BB45-94FF6213698B}"/>
              </c:ext>
            </c:extLst>
          </c:dPt>
          <c:dLbls>
            <c:dLbl>
              <c:idx val="0"/>
              <c:layout>
                <c:manualLayout>
                  <c:x val="2.2793634055085214E-2"/>
                  <c:y val="-7.2313746761012765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'Preparation grid'!$AD$16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9B8-4FC4-BB45-94FF6213698B}"/>
            </c:ext>
          </c:extLst>
        </c:ser>
        <c:ser>
          <c:idx val="11"/>
          <c:order val="10"/>
          <c:tx>
            <c:strRef>
              <c:f>'Preparation grid'!$AB$17</c:f>
              <c:strCache>
                <c:ptCount val="1"/>
                <c:pt idx="0">
                  <c:v>Commonality and variability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2-59B8-4FC4-BB45-94FF6213698B}"/>
              </c:ext>
            </c:extLst>
          </c:dPt>
          <c:dLbls>
            <c:dLbl>
              <c:idx val="0"/>
              <c:layout>
                <c:manualLayout>
                  <c:x val="6.4150652369382638E-2"/>
                  <c:y val="-7.42126269478509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grid'!$AE$17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9B8-4FC4-BB45-94FF6213698B}"/>
            </c:ext>
          </c:extLst>
        </c:ser>
        <c:ser>
          <c:idx val="12"/>
          <c:order val="11"/>
          <c:tx>
            <c:strRef>
              <c:f>'Preparation grid'!$AB$18</c:f>
              <c:strCache>
                <c:ptCount val="1"/>
                <c:pt idx="0">
                  <c:v>Software engineering capability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3-59B8-4FC4-BB45-94FF6213698B}"/>
              </c:ext>
            </c:extLst>
          </c:dPt>
          <c:dLbls>
            <c:dLbl>
              <c:idx val="0"/>
              <c:layout>
                <c:manualLayout>
                  <c:x val="0.11230754048444258"/>
                  <c:y val="6.337956564293270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9956533640660656"/>
                      <c:h val="0.106294340581887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33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grid'!$AE$18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9B8-4FC4-BB45-94FF6213698B}"/>
            </c:ext>
          </c:extLst>
        </c:ser>
        <c:ser>
          <c:idx val="13"/>
          <c:order val="12"/>
          <c:tx>
            <c:strRef>
              <c:f>'Preparation grid'!$AB$19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D-59B8-4FC4-BB45-94FF6213698B}"/>
              </c:ext>
            </c:extLst>
          </c:dPt>
          <c:dLbls>
            <c:dLbl>
              <c:idx val="0"/>
              <c:layout>
                <c:manualLayout>
                  <c:x val="3.0391512073446952E-2"/>
                  <c:y val="-7.7670215150794891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" lastClr="FFFFFF">
                      <a:lumMod val="50000"/>
                      <a:alpha val="94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9976316955552215"/>
                      <c:h val="0.132593549715015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D-59B8-4FC4-BB45-94FF6213698B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bg1">
                    <a:lumMod val="50000"/>
                    <a:alpha val="94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'Preparation grid'!$AE$19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grid'!$AD$19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9B8-4FC4-BB45-94FF6213698B}"/>
            </c:ext>
          </c:extLst>
        </c:ser>
        <c:ser>
          <c:idx val="14"/>
          <c:order val="13"/>
          <c:tx>
            <c:strRef>
              <c:f>'Preparation grid'!$AB$20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4-59B8-4FC4-BB45-94FF6213698B}"/>
              </c:ext>
            </c:extLst>
          </c:dPt>
          <c:xVal>
            <c:numRef>
              <c:f>'Preparation grid'!$AE$20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grid'!$AD$20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9B8-4FC4-BB45-94FF6213698B}"/>
            </c:ext>
          </c:extLst>
        </c:ser>
        <c:ser>
          <c:idx val="15"/>
          <c:order val="14"/>
          <c:tx>
            <c:strRef>
              <c:f>AssessInstr!$D$13</c:f>
              <c:strCache>
                <c:ptCount val="1"/>
                <c:pt idx="0">
                  <c:v> Degree of control over product specification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35-59B8-4FC4-BB45-94FF6213698B}"/>
              </c:ext>
            </c:extLst>
          </c:dPt>
          <c:dLbls>
            <c:dLbl>
              <c:idx val="0"/>
              <c:layout>
                <c:manualLayout>
                  <c:x val="1.7728382042844056E-2"/>
                  <c:y val="-8.0348607512236783E-3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161305143942896"/>
                      <c:h val="0.1171891821671643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35-59B8-4FC4-BB45-94FF6213698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AssessInstr!$R$13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AssessInstr!$X$13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9B8-4FC4-BB45-94FF6213698B}"/>
            </c:ext>
          </c:extLst>
        </c:ser>
        <c:ser>
          <c:idx val="16"/>
          <c:order val="15"/>
          <c:tx>
            <c:strRef>
              <c:f>'Preparation grid'!$AB$6</c:f>
              <c:strCache>
                <c:ptCount val="1"/>
                <c:pt idx="0">
                  <c:v>Readiness to pay migration costs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2-7AFD-4AEA-AD1A-1B008CF1B498}"/>
              </c:ext>
            </c:extLst>
          </c:dPt>
          <c:xVal>
            <c:numRef>
              <c:f>'Preparation grid'!$AE$6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'Preparation grid'!$AD$6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9B8-4FC4-BB45-94FF6213698B}"/>
            </c:ext>
          </c:extLst>
        </c:ser>
        <c:ser>
          <c:idx val="5"/>
          <c:order val="16"/>
          <c:tx>
            <c:strRef>
              <c:f>'Preparation grid'!$AB$8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x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21-7AFD-4AEA-AD1A-1B008CF1B498}"/>
              </c:ext>
            </c:extLst>
          </c:dPt>
          <c:dLbls>
            <c:dLbl>
              <c:idx val="0"/>
              <c:layout>
                <c:manualLayout>
                  <c:x val="0.10123522922206707"/>
                  <c:y val="4.7796559776748668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AFD-4AEA-AD1A-1B008CF1B49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'Preparation grid'!$AE$8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'Preparation grid'!$AD$8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7AFD-4AEA-AD1A-1B008CF1B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1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 i="0" baseline="0">
                    <a:effectLst/>
                  </a:rPr>
                  <a:t>Relative importance</a:t>
                </a:r>
                <a:endParaRPr lang="es-419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0.28251492633343134"/>
              <c:y val="5.05767856076239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high"/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2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2800" b="1"/>
                  <a:t>Strengths</a:t>
                </a:r>
              </a:p>
            </c:rich>
          </c:tx>
          <c:layout>
            <c:manualLayout>
              <c:xMode val="edge"/>
              <c:yMode val="edge"/>
              <c:x val="0.84449276242280347"/>
              <c:y val="0.318642333480181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2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solidFill>
            <a:schemeClr val="bg1">
              <a:lumMod val="6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Feasibility</a:t>
            </a:r>
            <a:r>
              <a:rPr lang="es-419" baseline="0"/>
              <a:t> matrix</a:t>
            </a:r>
            <a:endParaRPr lang="es-419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SummaryMatrix!$H$2</c:f>
              <c:strCache>
                <c:ptCount val="1"/>
                <c:pt idx="0">
                  <c:v>Op.Commitment of key actors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SummaryMatrix!$J$2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8-4DD1-944D-79550AA1AF45}"/>
            </c:ext>
          </c:extLst>
        </c:ser>
        <c:ser>
          <c:idx val="1"/>
          <c:order val="1"/>
          <c:tx>
            <c:strRef>
              <c:f>SummaryMatrix!$H$3</c:f>
              <c:strCache>
                <c:ptCount val="1"/>
                <c:pt idx="0">
                  <c:v>Op.Domain knowledge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38-4DD1-944D-79550AA1AF45}"/>
            </c:ext>
          </c:extLst>
        </c:ser>
        <c:ser>
          <c:idx val="2"/>
          <c:order val="2"/>
          <c:tx>
            <c:strRef>
              <c:f>SummaryMatrix!$H$4</c:f>
              <c:strCache>
                <c:ptCount val="1"/>
                <c:pt idx="0">
                  <c:v>Op.Market potential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138-4DD1-944D-79550AA1AF45}"/>
            </c:ext>
          </c:extLst>
        </c:ser>
        <c:ser>
          <c:idx val="3"/>
          <c:order val="3"/>
          <c:tx>
            <c:strRef>
              <c:f>SummaryMatrix!$H$5</c:f>
              <c:strCache>
                <c:ptCount val="1"/>
                <c:pt idx="0">
                  <c:v>Op.Opennes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SummaryMatrix!$J$5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SummaryMatrix!$I$5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138-4DD1-944D-79550AA1AF45}"/>
            </c:ext>
          </c:extLst>
        </c:ser>
        <c:ser>
          <c:idx val="4"/>
          <c:order val="4"/>
          <c:tx>
            <c:strRef>
              <c:f>SummaryMatrix!$H$6</c:f>
              <c:strCache>
                <c:ptCount val="1"/>
                <c:pt idx="0">
                  <c:v>Op.Organizational williness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SummaryMatrix!$J$6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138-4DD1-944D-79550AA1AF45}"/>
            </c:ext>
          </c:extLst>
        </c:ser>
        <c:ser>
          <c:idx val="5"/>
          <c:order val="5"/>
          <c:tx>
            <c:strRef>
              <c:f>SummaryMatrix!$H$7</c:f>
              <c:strCache>
                <c:ptCount val="1"/>
                <c:pt idx="0">
                  <c:v>Tech.Commonality and variability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SummaryMatrix!$J$7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138-4DD1-944D-79550AA1AF45}"/>
            </c:ext>
          </c:extLst>
        </c:ser>
        <c:ser>
          <c:idx val="6"/>
          <c:order val="6"/>
          <c:tx>
            <c:strRef>
              <c:f>SummaryMatrix!$H$8</c:f>
              <c:strCache>
                <c:ptCount val="1"/>
                <c:pt idx="0">
                  <c:v>Tech.Reuse aptitute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SummaryMatrix!$I$8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138-4DD1-944D-79550AA1AF4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92801232"/>
        <c:axId val="892806808"/>
      </c:scatterChart>
      <c:valAx>
        <c:axId val="892801232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2806808"/>
        <c:crosses val="autoZero"/>
        <c:crossBetween val="midCat"/>
      </c:valAx>
      <c:valAx>
        <c:axId val="892806808"/>
        <c:scaling>
          <c:orientation val="minMax"/>
          <c:max val="5"/>
          <c:min val="0.5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crossAx val="892801232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Feasibility</a:t>
            </a:r>
            <a:r>
              <a:rPr lang="es-419" baseline="0"/>
              <a:t> matrix</a:t>
            </a:r>
            <a:endParaRPr lang="es-419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SummaryMatrix!$H$2</c:f>
              <c:strCache>
                <c:ptCount val="1"/>
                <c:pt idx="0">
                  <c:v>Op.Commitment of key actors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SummaryMatrix!$I$2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SummaryMatrix!$J$2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F0-4462-B917-86044125F5C6}"/>
            </c:ext>
          </c:extLst>
        </c:ser>
        <c:ser>
          <c:idx val="1"/>
          <c:order val="1"/>
          <c:tx>
            <c:strRef>
              <c:f>SummaryMatrix!$H$3</c:f>
              <c:strCache>
                <c:ptCount val="1"/>
                <c:pt idx="0">
                  <c:v>Op.Domain knowledge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SummaryMatrix!$J$3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F0-4462-B917-86044125F5C6}"/>
            </c:ext>
          </c:extLst>
        </c:ser>
        <c:ser>
          <c:idx val="2"/>
          <c:order val="2"/>
          <c:tx>
            <c:strRef>
              <c:f>SummaryMatrix!$H$4</c:f>
              <c:strCache>
                <c:ptCount val="1"/>
                <c:pt idx="0">
                  <c:v>Op.Market potential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SummaryMatrix!$J$4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F0-4462-B917-86044125F5C6}"/>
            </c:ext>
          </c:extLst>
        </c:ser>
        <c:ser>
          <c:idx val="3"/>
          <c:order val="3"/>
          <c:tx>
            <c:strRef>
              <c:f>SummaryMatrix!$H$5</c:f>
              <c:strCache>
                <c:ptCount val="1"/>
                <c:pt idx="0">
                  <c:v>Op.Opennes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SummaryMatrix!$I$5</c:f>
              <c:numCache>
                <c:formatCode>0.00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SummaryMatrix!$J$5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F0-4462-B917-86044125F5C6}"/>
            </c:ext>
          </c:extLst>
        </c:ser>
        <c:ser>
          <c:idx val="4"/>
          <c:order val="4"/>
          <c:tx>
            <c:strRef>
              <c:f>SummaryMatrix!$H$6</c:f>
              <c:strCache>
                <c:ptCount val="1"/>
                <c:pt idx="0">
                  <c:v>Op.Organizational williness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SummaryMatrix!$J$6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F0-4462-B917-86044125F5C6}"/>
            </c:ext>
          </c:extLst>
        </c:ser>
        <c:ser>
          <c:idx val="5"/>
          <c:order val="5"/>
          <c:tx>
            <c:strRef>
              <c:f>SummaryMatrix!$H$7</c:f>
              <c:strCache>
                <c:ptCount val="1"/>
                <c:pt idx="0">
                  <c:v>Tech.Commonality and variability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SummaryMatrix!$J$7</c:f>
              <c:numCache>
                <c:formatCode>General</c:formatCode>
                <c:ptCount val="1"/>
                <c:pt idx="0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F0-4462-B917-86044125F5C6}"/>
            </c:ext>
          </c:extLst>
        </c:ser>
        <c:ser>
          <c:idx val="6"/>
          <c:order val="6"/>
          <c:tx>
            <c:strRef>
              <c:f>SummaryMatrix!$H$8</c:f>
              <c:strCache>
                <c:ptCount val="1"/>
                <c:pt idx="0">
                  <c:v>Tech.Reuse aptitute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SummaryMatrix!$I$8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5F0-4462-B917-86044125F5C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92801232"/>
        <c:axId val="892806808"/>
      </c:scatterChart>
      <c:valAx>
        <c:axId val="892801232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2806808"/>
        <c:crosses val="autoZero"/>
        <c:crossBetween val="midCat"/>
      </c:valAx>
      <c:valAx>
        <c:axId val="892806808"/>
        <c:scaling>
          <c:orientation val="minMax"/>
          <c:max val="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280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SummaryMatrix!$H$2</c:f>
              <c:strCache>
                <c:ptCount val="1"/>
                <c:pt idx="0">
                  <c:v>Op.Commitment of key actors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SummaryMatrix!$J$2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5-48E5-AA40-347F06D1F6CE}"/>
            </c:ext>
          </c:extLst>
        </c:ser>
        <c:ser>
          <c:idx val="1"/>
          <c:order val="1"/>
          <c:tx>
            <c:strRef>
              <c:f>SummaryMatrix!$H$3</c:f>
              <c:strCache>
                <c:ptCount val="1"/>
                <c:pt idx="0">
                  <c:v>Op.Domain knowledge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8109493311223555E-2"/>
                  <c:y val="-4.2230108560373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755-48E5-AA40-347F06D1F6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55-48E5-AA40-347F06D1F6CE}"/>
            </c:ext>
          </c:extLst>
        </c:ser>
        <c:ser>
          <c:idx val="2"/>
          <c:order val="2"/>
          <c:tx>
            <c:strRef>
              <c:f>SummaryMatrix!$H$4</c:f>
              <c:strCache>
                <c:ptCount val="1"/>
                <c:pt idx="0">
                  <c:v>Op.Market potential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85176192105908E-4"/>
                  <c:y val="2.03677005163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55-48E5-AA40-347F06D1F6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55-48E5-AA40-347F06D1F6CE}"/>
            </c:ext>
          </c:extLst>
        </c:ser>
        <c:ser>
          <c:idx val="3"/>
          <c:order val="3"/>
          <c:tx>
            <c:strRef>
              <c:f>SummaryMatrix!$H$5</c:f>
              <c:strCache>
                <c:ptCount val="1"/>
                <c:pt idx="0">
                  <c:v>Op.Opennes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SummaryMatrix!$J$5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SummaryMatrix!$I$5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755-48E5-AA40-347F06D1F6CE}"/>
            </c:ext>
          </c:extLst>
        </c:ser>
        <c:ser>
          <c:idx val="4"/>
          <c:order val="4"/>
          <c:tx>
            <c:strRef>
              <c:f>SummaryMatrix!$H$6</c:f>
              <c:strCache>
                <c:ptCount val="1"/>
                <c:pt idx="0">
                  <c:v>Op.Organizational williness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SummaryMatrix!$J$6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755-48E5-AA40-347F06D1F6CE}"/>
            </c:ext>
          </c:extLst>
        </c:ser>
        <c:ser>
          <c:idx val="5"/>
          <c:order val="5"/>
          <c:tx>
            <c:strRef>
              <c:f>SummaryMatrix!$H$7</c:f>
              <c:strCache>
                <c:ptCount val="1"/>
                <c:pt idx="0">
                  <c:v>Tech.Commonality and variability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SummaryMatrix!$J$7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755-48E5-AA40-347F06D1F6CE}"/>
            </c:ext>
          </c:extLst>
        </c:ser>
        <c:ser>
          <c:idx val="6"/>
          <c:order val="6"/>
          <c:tx>
            <c:strRef>
              <c:f>SummaryMatrix!$H$8</c:f>
              <c:strCache>
                <c:ptCount val="1"/>
                <c:pt idx="0">
                  <c:v>Tech.Reuse aptitute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SummaryMatrix!$I$8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55-48E5-AA40-347F06D1F6C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92801232"/>
        <c:axId val="892806808"/>
      </c:scatterChart>
      <c:valAx>
        <c:axId val="892801232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2806808"/>
        <c:crosses val="autoZero"/>
        <c:crossBetween val="midCat"/>
      </c:valAx>
      <c:valAx>
        <c:axId val="892806808"/>
        <c:scaling>
          <c:orientation val="minMax"/>
          <c:max val="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2801232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SummaryMatrix!$H$2</c:f>
              <c:strCache>
                <c:ptCount val="1"/>
                <c:pt idx="0">
                  <c:v>Op.Commitment of key actors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SummaryMatrix!$J$2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SummaryMatrix!$I$2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5A-4B4F-90ED-66AB3502C4E4}"/>
            </c:ext>
          </c:extLst>
        </c:ser>
        <c:ser>
          <c:idx val="1"/>
          <c:order val="1"/>
          <c:tx>
            <c:strRef>
              <c:f>SummaryMatrix!$H$3</c:f>
              <c:strCache>
                <c:ptCount val="1"/>
                <c:pt idx="0">
                  <c:v>Op.Domain knowledge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8109493311223555E-2"/>
                  <c:y val="-4.223010856037361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55A-4B4F-90ED-66AB3502C4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SummaryMatrix!$I$3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5A-4B4F-90ED-66AB3502C4E4}"/>
            </c:ext>
          </c:extLst>
        </c:ser>
        <c:ser>
          <c:idx val="2"/>
          <c:order val="2"/>
          <c:tx>
            <c:strRef>
              <c:f>SummaryMatrix!$H$4</c:f>
              <c:strCache>
                <c:ptCount val="1"/>
                <c:pt idx="0">
                  <c:v>Op.Market potential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8.85176192105908E-4"/>
                  <c:y val="2.036770051630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5A-4B4F-90ED-66AB3502C4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SummaryMatrix!$I$4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5A-4B4F-90ED-66AB3502C4E4}"/>
            </c:ext>
          </c:extLst>
        </c:ser>
        <c:ser>
          <c:idx val="3"/>
          <c:order val="3"/>
          <c:tx>
            <c:strRef>
              <c:f>SummaryMatrix!$H$5</c:f>
              <c:strCache>
                <c:ptCount val="1"/>
                <c:pt idx="0">
                  <c:v>Op.Opennes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SummaryMatrix!$J$5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SummaryMatrix!$I$5</c:f>
              <c:numCache>
                <c:formatCode>0.00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5A-4B4F-90ED-66AB3502C4E4}"/>
            </c:ext>
          </c:extLst>
        </c:ser>
        <c:ser>
          <c:idx val="4"/>
          <c:order val="4"/>
          <c:tx>
            <c:strRef>
              <c:f>SummaryMatrix!$H$6</c:f>
              <c:strCache>
                <c:ptCount val="1"/>
                <c:pt idx="0">
                  <c:v>Op.Organizational williness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SummaryMatrix!$J$6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SummaryMatrix!$I$6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55A-4B4F-90ED-66AB3502C4E4}"/>
            </c:ext>
          </c:extLst>
        </c:ser>
        <c:ser>
          <c:idx val="5"/>
          <c:order val="5"/>
          <c:tx>
            <c:strRef>
              <c:f>SummaryMatrix!$H$7</c:f>
              <c:strCache>
                <c:ptCount val="1"/>
                <c:pt idx="0">
                  <c:v>Tech.Commonality and variability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SummaryMatrix!$J$7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SummaryMatrix!$I$7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55A-4B4F-90ED-66AB3502C4E4}"/>
            </c:ext>
          </c:extLst>
        </c:ser>
        <c:ser>
          <c:idx val="6"/>
          <c:order val="6"/>
          <c:tx>
            <c:strRef>
              <c:f>SummaryMatrix!$H$8</c:f>
              <c:strCache>
                <c:ptCount val="1"/>
                <c:pt idx="0">
                  <c:v>Tech.Reuse aptitute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SummaryMatrix!$J$8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SummaryMatrix!$I$8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55A-4B4F-90ED-66AB3502C4E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92801232"/>
        <c:axId val="892806808"/>
      </c:scatterChart>
      <c:valAx>
        <c:axId val="892801232"/>
        <c:scaling>
          <c:orientation val="minMax"/>
          <c:max val="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2806808"/>
        <c:crosses val="autoZero"/>
        <c:crossBetween val="midCat"/>
      </c:valAx>
      <c:valAx>
        <c:axId val="892806808"/>
        <c:scaling>
          <c:orientation val="minMax"/>
          <c:max val="5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92801232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External</a:t>
            </a:r>
          </a:p>
        </c:rich>
      </c:tx>
      <c:layout>
        <c:manualLayout>
          <c:xMode val="edge"/>
          <c:yMode val="edge"/>
          <c:x val="1.3368003578590507E-2"/>
          <c:y val="2.46841007396375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SummaryMatrix!$A$15</c:f>
              <c:strCache>
                <c:ptCount val="1"/>
                <c:pt idx="0">
                  <c:v>Op.Crit5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SummaryMatrix!$C$15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7A-4FD9-8BC4-AA95AF2849A5}"/>
            </c:ext>
          </c:extLst>
        </c:ser>
        <c:ser>
          <c:idx val="1"/>
          <c:order val="1"/>
          <c:tx>
            <c:strRef>
              <c:f>SummaryMatrix!$A$16</c:f>
              <c:strCache>
                <c:ptCount val="1"/>
                <c:pt idx="0">
                  <c:v>Op.Crit6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SummaryMatrix!$C$16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SummaryMatrix!$D$16</c:f>
              <c:numCache>
                <c:formatCode>General</c:formatCode>
                <c:ptCount val="1"/>
                <c:pt idx="0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7A-4FD9-8BC4-AA95AF2849A5}"/>
            </c:ext>
          </c:extLst>
        </c:ser>
        <c:ser>
          <c:idx val="2"/>
          <c:order val="2"/>
          <c:tx>
            <c:strRef>
              <c:f>SummaryMatrix!$A$17</c:f>
              <c:strCache>
                <c:ptCount val="1"/>
                <c:pt idx="0">
                  <c:v>Econo.Cri9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SummaryMatrix!$C$17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SummaryMatrix!$D$17</c:f>
              <c:numCache>
                <c:formatCode>General</c:formatCode>
                <c:ptCount val="1"/>
                <c:pt idx="0">
                  <c:v>4.9000000000000004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7A-4FD9-8BC4-AA95AF2849A5}"/>
            </c:ext>
          </c:extLst>
        </c:ser>
        <c:ser>
          <c:idx val="3"/>
          <c:order val="3"/>
          <c:tx>
            <c:strRef>
              <c:f>SummaryMatrix!$A$18</c:f>
              <c:strCache>
                <c:ptCount val="1"/>
                <c:pt idx="0">
                  <c:v>Tech.Cri3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SummaryMatrix!$C$18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SummaryMatrix!$D$18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7A-4FD9-8BC4-AA95AF2849A5}"/>
            </c:ext>
          </c:extLst>
        </c:ser>
        <c:ser>
          <c:idx val="4"/>
          <c:order val="4"/>
          <c:tx>
            <c:strRef>
              <c:f>SummaryMatrix!$A$19</c:f>
              <c:strCache>
                <c:ptCount val="1"/>
                <c:pt idx="0">
                  <c:v>Econo.Cri8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SummaryMatrix!$C$19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SummaryMatrix!$D$19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B7A-4FD9-8BC4-AA95AF2849A5}"/>
            </c:ext>
          </c:extLst>
        </c:ser>
        <c:ser>
          <c:idx val="5"/>
          <c:order val="5"/>
          <c:tx>
            <c:strRef>
              <c:f>SummaryMatrix!$A$20</c:f>
              <c:strCache>
                <c:ptCount val="1"/>
                <c:pt idx="0">
                  <c:v>Tech.Cri1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SummaryMatrix!$C$20</c:f>
              <c:numCache>
                <c:formatCode>General</c:formatCode>
                <c:ptCount val="1"/>
                <c:pt idx="0">
                  <c:v>0.5</c:v>
                </c:pt>
              </c:numCache>
            </c:numRef>
          </c:xVal>
          <c:yVal>
            <c:numRef>
              <c:f>SummaryMatrix!$D$20</c:f>
              <c:numCache>
                <c:formatCode>General</c:formatCode>
                <c:ptCount val="1"/>
                <c:pt idx="0">
                  <c:v>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B7A-4FD9-8BC4-AA95AF2849A5}"/>
            </c:ext>
          </c:extLst>
        </c:ser>
        <c:ser>
          <c:idx val="6"/>
          <c:order val="6"/>
          <c:tx>
            <c:strRef>
              <c:f>SummaryMatrix!$A$21</c:f>
              <c:strCache>
                <c:ptCount val="1"/>
                <c:pt idx="0">
                  <c:v>Op.Crit7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SummaryMatrix!$C$21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SummaryMatrix!$D$21</c:f>
              <c:numCache>
                <c:formatCode>General</c:formatCode>
                <c:ptCount val="1"/>
                <c:pt idx="0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B7A-4FD9-8BC4-AA95AF2849A5}"/>
            </c:ext>
          </c:extLst>
        </c:ser>
        <c:ser>
          <c:idx val="7"/>
          <c:order val="7"/>
          <c:tx>
            <c:strRef>
              <c:f>SummaryMatrix!$A$22</c:f>
              <c:strCache>
                <c:ptCount val="1"/>
                <c:pt idx="0">
                  <c:v>Op.Crit8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SummaryMatrix!$D$22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B7A-4FD9-8BC4-AA95AF2849A5}"/>
            </c:ext>
          </c:extLst>
        </c:ser>
        <c:ser>
          <c:idx val="8"/>
          <c:order val="8"/>
          <c:tx>
            <c:strRef>
              <c:f>SummaryMatrix!$A$23</c:f>
              <c:strCache>
                <c:ptCount val="1"/>
                <c:pt idx="0">
                  <c:v>Tech.Cri2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SummaryMatrix!$D$23</c:f>
              <c:numCache>
                <c:formatCode>General</c:formatCode>
                <c:ptCount val="1"/>
                <c:pt idx="0">
                  <c:v>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B7A-4FD9-8BC4-AA95AF284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.25"/>
        </c:scaling>
        <c:delete val="1"/>
        <c:axPos val="b"/>
        <c:majorGridlines>
          <c:spPr>
            <a:ln w="9525" cap="flat" cmpd="sng" algn="ctr">
              <a:gradFill flip="none" rotWithShape="1">
                <a:gsLst>
                  <a:gs pos="6452">
                    <a:schemeClr val="accent4">
                      <a:lumMod val="40000"/>
                      <a:lumOff val="60000"/>
                    </a:schemeClr>
                  </a:gs>
                  <a:gs pos="58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6">
                      <a:lumMod val="75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crossAx val="859329728"/>
        <c:crosses val="autoZero"/>
        <c:crossBetween val="midCat"/>
        <c:majorUnit val="0.25"/>
      </c:valAx>
      <c:valAx>
        <c:axId val="859329728"/>
        <c:scaling>
          <c:orientation val="minMax"/>
          <c:max val="5.2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Oportunities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 val="autoZero"/>
        <c:crossBetween val="midCat"/>
        <c:majorUnit val="0.25"/>
      </c:valAx>
      <c:spPr>
        <a:gradFill flip="none" rotWithShape="1">
          <a:gsLst>
            <a:gs pos="100000">
              <a:schemeClr val="accent4">
                <a:lumMod val="40000"/>
                <a:lumOff val="60000"/>
              </a:schemeClr>
            </a:gs>
            <a:gs pos="49000">
              <a:schemeClr val="accent1">
                <a:lumMod val="45000"/>
                <a:lumOff val="55000"/>
              </a:schemeClr>
            </a:gs>
            <a:gs pos="0">
              <a:schemeClr val="accent6">
                <a:lumMod val="75000"/>
              </a:schemeClr>
            </a:gs>
          </a:gsLst>
          <a:lin ang="10800000" scaled="0"/>
          <a:tileRect/>
        </a:gradFill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Internal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6.0258613928026269E-2"/>
          <c:y val="0.20771875933347314"/>
          <c:w val="0.68196062992125983"/>
          <c:h val="0.71046988918051912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SummaryMatrix!$A$15</c:f>
              <c:strCache>
                <c:ptCount val="1"/>
                <c:pt idx="0">
                  <c:v>Op.Crit5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76-4806-AC6A-9AE65CBCEB49}"/>
            </c:ext>
          </c:extLst>
        </c:ser>
        <c:ser>
          <c:idx val="1"/>
          <c:order val="1"/>
          <c:tx>
            <c:strRef>
              <c:f>SummaryMatrix!$A$16</c:f>
              <c:strCache>
                <c:ptCount val="1"/>
                <c:pt idx="0">
                  <c:v>Op.Crit6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SummaryMatrix!$D$16</c:f>
              <c:numCache>
                <c:formatCode>General</c:formatCode>
                <c:ptCount val="1"/>
                <c:pt idx="0">
                  <c:v>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76-4806-AC6A-9AE65CBCEB49}"/>
            </c:ext>
          </c:extLst>
        </c:ser>
        <c:ser>
          <c:idx val="2"/>
          <c:order val="2"/>
          <c:tx>
            <c:strRef>
              <c:f>SummaryMatrix!$A$17</c:f>
              <c:strCache>
                <c:ptCount val="1"/>
                <c:pt idx="0">
                  <c:v>Econo.Cri9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SummaryMatrix!$D$17</c:f>
              <c:numCache>
                <c:formatCode>General</c:formatCode>
                <c:ptCount val="1"/>
                <c:pt idx="0">
                  <c:v>4.9000000000000004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76-4806-AC6A-9AE65CBCEB49}"/>
            </c:ext>
          </c:extLst>
        </c:ser>
        <c:ser>
          <c:idx val="3"/>
          <c:order val="3"/>
          <c:tx>
            <c:strRef>
              <c:f>SummaryMatrix!$A$18</c:f>
              <c:strCache>
                <c:ptCount val="1"/>
                <c:pt idx="0">
                  <c:v>Tech.Cri3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SummaryMatrix!$C$18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SummaryMatrix!$D$18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76-4806-AC6A-9AE65CBCEB49}"/>
            </c:ext>
          </c:extLst>
        </c:ser>
        <c:ser>
          <c:idx val="4"/>
          <c:order val="4"/>
          <c:tx>
            <c:strRef>
              <c:f>SummaryMatrix!$A$19</c:f>
              <c:strCache>
                <c:ptCount val="1"/>
                <c:pt idx="0">
                  <c:v>Econo.Cri8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SummaryMatrix!$D$19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76-4806-AC6A-9AE65CBCEB49}"/>
            </c:ext>
          </c:extLst>
        </c:ser>
        <c:ser>
          <c:idx val="5"/>
          <c:order val="5"/>
          <c:tx>
            <c:strRef>
              <c:f>SummaryMatrix!$A$20</c:f>
              <c:strCache>
                <c:ptCount val="1"/>
                <c:pt idx="0">
                  <c:v>Tech.Cri1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SummaryMatrix!$C$20</c:f>
              <c:numCache>
                <c:formatCode>General</c:formatCode>
                <c:ptCount val="1"/>
                <c:pt idx="0">
                  <c:v>0.5</c:v>
                </c:pt>
              </c:numCache>
            </c:numRef>
          </c:xVal>
          <c:yVal>
            <c:numRef>
              <c:f>SummaryMatrix!$D$20</c:f>
              <c:numCache>
                <c:formatCode>General</c:formatCode>
                <c:ptCount val="1"/>
                <c:pt idx="0">
                  <c:v>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76-4806-AC6A-9AE65CBCEB49}"/>
            </c:ext>
          </c:extLst>
        </c:ser>
        <c:ser>
          <c:idx val="6"/>
          <c:order val="6"/>
          <c:tx>
            <c:strRef>
              <c:f>SummaryMatrix!$A$21</c:f>
              <c:strCache>
                <c:ptCount val="1"/>
                <c:pt idx="0">
                  <c:v>Op.Crit7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SummaryMatrix!$C$21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SummaryMatrix!$D$21</c:f>
              <c:numCache>
                <c:formatCode>General</c:formatCode>
                <c:ptCount val="1"/>
                <c:pt idx="0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76-4806-AC6A-9AE65CBCEB49}"/>
            </c:ext>
          </c:extLst>
        </c:ser>
        <c:ser>
          <c:idx val="7"/>
          <c:order val="7"/>
          <c:tx>
            <c:strRef>
              <c:f>SummaryMatrix!$A$22</c:f>
              <c:strCache>
                <c:ptCount val="1"/>
                <c:pt idx="0">
                  <c:v>Op.Crit8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SummaryMatrix!$C$22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SummaryMatrix!$D$22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76-4806-AC6A-9AE65CBCEB49}"/>
            </c:ext>
          </c:extLst>
        </c:ser>
        <c:ser>
          <c:idx val="8"/>
          <c:order val="8"/>
          <c:tx>
            <c:strRef>
              <c:f>SummaryMatrix!$A$23</c:f>
              <c:strCache>
                <c:ptCount val="1"/>
                <c:pt idx="0">
                  <c:v>Tech.Cri2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SummaryMatrix!$C$23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SummaryMatrix!$D$23</c:f>
              <c:numCache>
                <c:formatCode>General</c:formatCode>
                <c:ptCount val="1"/>
                <c:pt idx="0">
                  <c:v>1.7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76-4806-AC6A-9AE65CBCEB4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 val="autoZero"/>
        <c:crossBetween val="midCat"/>
      </c:valAx>
      <c:valAx>
        <c:axId val="85932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186166900071932"/>
          <c:y val="0.15642442054451441"/>
          <c:w val="0.16187773403324585"/>
          <c:h val="0.76041776027996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103842867169209"/>
          <c:y val="2.1941422879677857E-2"/>
          <c:w val="0.68433768101965697"/>
          <c:h val="0.87601713936107706"/>
        </c:manualLayout>
      </c:layout>
      <c:scatterChart>
        <c:scatterStyle val="lineMarker"/>
        <c:varyColors val="0"/>
        <c:ser>
          <c:idx val="6"/>
          <c:order val="0"/>
          <c:tx>
            <c:strRef>
              <c:f>SummaryMatrix!$A$21</c:f>
              <c:strCache>
                <c:ptCount val="1"/>
                <c:pt idx="0">
                  <c:v>Op.Crit7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SummaryMatrix!$C$21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SummaryMatrix!$D$21</c:f>
              <c:numCache>
                <c:formatCode>General</c:formatCode>
                <c:ptCount val="1"/>
                <c:pt idx="0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D2B-4680-9007-D48021908671}"/>
            </c:ext>
          </c:extLst>
        </c:ser>
        <c:ser>
          <c:idx val="7"/>
          <c:order val="1"/>
          <c:tx>
            <c:strRef>
              <c:f>SummaryMatrix!$A$22</c:f>
              <c:strCache>
                <c:ptCount val="1"/>
                <c:pt idx="0">
                  <c:v>Op.Crit8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SummaryMatrix!$C$22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SummaryMatrix!$D$22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D2B-4680-9007-D48021908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.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 val="autoZero"/>
        <c:crossBetween val="midCat"/>
        <c:majorUnit val="0.25"/>
      </c:valAx>
      <c:valAx>
        <c:axId val="859329728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External</a:t>
            </a:r>
          </a:p>
        </c:rich>
      </c:tx>
      <c:layout>
        <c:manualLayout>
          <c:xMode val="edge"/>
          <c:yMode val="edge"/>
          <c:x val="1.3368003578590507E-2"/>
          <c:y val="2.46841007396375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xVal>
          <c:yVal>
            <c:numRef>
              <c:f>SummaryMatrix!$B$111:$C$111</c:f>
              <c:numCache>
                <c:formatCode>General</c:formatCode>
                <c:ptCount val="2"/>
                <c:pt idx="0">
                  <c:v>0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B6-4EED-B68E-2076F29BE9F0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SummaryMatrix!$D$112</c:f>
              <c:numCache>
                <c:formatCode>General</c:formatCode>
                <c:ptCount val="1"/>
              </c:numCache>
            </c:numRef>
          </c:xVal>
          <c:yVal>
            <c:numRef>
              <c:f>SummaryMatrix!$C$112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B6-4EED-B68E-2076F29BE9F0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SummaryMatrix!$D$113</c:f>
              <c:numCache>
                <c:formatCode>General</c:formatCode>
                <c:ptCount val="1"/>
              </c:numCache>
            </c:numRef>
          </c:xVal>
          <c:yVal>
            <c:numRef>
              <c:f>SummaryMatrix!$C$113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B6-4EED-B68E-2076F29BE9F0}"/>
            </c:ext>
          </c:extLst>
        </c:ser>
        <c:ser>
          <c:idx val="3"/>
          <c:order val="3"/>
          <c:tx>
            <c:strRef>
              <c:f>SummaryMatrix!$A$114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SummaryMatrix!$D$114</c:f>
              <c:numCache>
                <c:formatCode>General</c:formatCode>
                <c:ptCount val="1"/>
              </c:numCache>
            </c:numRef>
          </c:xVal>
          <c:yVal>
            <c:numRef>
              <c:f>SummaryMatrix!$C$114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B6-4EED-B68E-2076F29BE9F0}"/>
            </c:ext>
          </c:extLst>
        </c:ser>
        <c:ser>
          <c:idx val="4"/>
          <c:order val="4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SummaryMatrix!$C$126</c:f>
              <c:numCache>
                <c:formatCode>General</c:formatCode>
                <c:ptCount val="1"/>
              </c:numCache>
            </c:numRef>
          </c:xVal>
          <c:yVal>
            <c:numRef>
              <c:f>SummaryMatrix!$B$126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B6-4EED-B68E-2076F29BE9F0}"/>
            </c:ext>
          </c:extLst>
        </c:ser>
        <c:ser>
          <c:idx val="5"/>
          <c:order val="5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SummaryMatrix!$D$115</c:f>
              <c:numCache>
                <c:formatCode>General</c:formatCode>
                <c:ptCount val="1"/>
              </c:numCache>
            </c:numRef>
          </c:xVal>
          <c:yVal>
            <c:numRef>
              <c:f>SummaryMatrix!$C$115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FB6-4EED-B68E-2076F29BE9F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5.25"/>
          <c:min val="2.75"/>
        </c:scaling>
        <c:delete val="0"/>
        <c:axPos val="b"/>
        <c:majorGridlines>
          <c:spPr>
            <a:ln w="9525" cap="flat" cmpd="dbl" algn="ctr">
              <a:gradFill>
                <a:gsLst>
                  <a:gs pos="53200">
                    <a:schemeClr val="accent4">
                      <a:lumMod val="60000"/>
                      <a:lumOff val="40000"/>
                    </a:schemeClr>
                  </a:gs>
                  <a:gs pos="100000">
                    <a:schemeClr val="accent2">
                      <a:lumMod val="75000"/>
                    </a:schemeClr>
                  </a:gs>
                  <a:gs pos="0">
                    <a:schemeClr val="accent6">
                      <a:lumMod val="75000"/>
                    </a:schemeClr>
                  </a:gs>
                </a:gsLst>
                <a:lin ang="10800000" scaled="0"/>
              </a:gra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0.25"/>
      </c:valAx>
      <c:valAx>
        <c:axId val="859329728"/>
        <c:scaling>
          <c:orientation val="minMax"/>
          <c:max val="3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52400">
                    <a:schemeClr val="accent4">
                      <a:lumMod val="60000"/>
                      <a:lumOff val="40000"/>
                    </a:schemeClr>
                  </a:gs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6">
                      <a:lumMod val="7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Oportunities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1"/>
        <c:minorUnit val="0.15000000000000002"/>
      </c:valAx>
      <c:spPr>
        <a:gradFill flip="none" rotWithShape="1">
          <a:gsLst>
            <a:gs pos="24000">
              <a:schemeClr val="accent2">
                <a:lumMod val="40000"/>
                <a:lumOff val="60000"/>
              </a:schemeClr>
            </a:gs>
            <a:gs pos="80000">
              <a:schemeClr val="accent6">
                <a:lumMod val="40000"/>
                <a:lumOff val="60000"/>
              </a:schemeClr>
            </a:gs>
            <a:gs pos="58000">
              <a:schemeClr val="accent4">
                <a:lumMod val="40000"/>
                <a:lumOff val="60000"/>
              </a:schemeClr>
            </a:gs>
            <a:gs pos="41000">
              <a:schemeClr val="accent4">
                <a:lumMod val="40000"/>
                <a:lumOff val="60000"/>
              </a:schemeClr>
            </a:gs>
            <a:gs pos="0">
              <a:schemeClr val="accent2">
                <a:lumMod val="40000"/>
                <a:lumOff val="60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0"/>
          <a:tileRect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0"/>
          <c:y val="3.0221811536783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AEE-4474-B493-2EA3C3C9E81C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EE-4474-B493-2EA3C3C9E8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E-4474-B493-2EA3C3C9E81C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AEE-4474-B493-2EA3C3C9E81C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AEE-4474-B493-2EA3C3C9E8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EE-4474-B493-2EA3C3C9E81C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FAEE-4474-B493-2EA3C3C9E81C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EE-4474-B493-2EA3C3C9E8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EE-4474-B493-2EA3C3C9E81C}"/>
            </c:ext>
          </c:extLst>
        </c:ser>
        <c:ser>
          <c:idx val="3"/>
          <c:order val="3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AEE-4474-B493-2EA3C3C9E81C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EE-4474-B493-2EA3C3C9E8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EE-4474-B493-2EA3C3C9E8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5"/>
        <c:minorUnit val="0.1500000000000000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734731411615352"/>
          <c:y val="3.022181153678325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695F-4728-86FA-77A22EEE2C46}"/>
              </c:ext>
            </c:extLst>
          </c:dPt>
          <c:dLbls>
            <c:dLbl>
              <c:idx val="0"/>
              <c:layout>
                <c:manualLayout>
                  <c:x val="2.5653430237314429E-3"/>
                  <c:y val="-1.402071256683644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5F-4728-86FA-77A22EEE2C46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5F-4728-86FA-77A22EEE2C46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5F-4728-86FA-77A22EEE2C46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95F-4728-86FA-77A22EEE2C46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95F-4728-86FA-77A22EEE2C46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95F-4728-86FA-77A22EEE2C46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695F-4728-86FA-77A22EEE2C4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95F-4728-86FA-77A22EEE2C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95F-4728-86FA-77A22EEE2C4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5"/>
        <c:minorUnit val="0.1500000000000000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455088822477256"/>
          <c:y val="0.92838921056488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A5-4859-8E40-705873DFC9B8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A5-4859-8E40-705873DFC9B8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A5-4859-8E40-705873DFC9B8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A5-4859-8E40-705873DFC9B8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A5-4859-8E40-705873DFC9B8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EA5-4859-8E40-705873DFC9B8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EA5-4859-8E40-705873DFC9B8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CEA5-4859-8E40-705873DFC9B8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EA5-4859-8E40-705873DFC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EA5-4859-8E40-705873DFC9B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5"/>
        <c:minorUnit val="0.1500000000000000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2.3343502553731187E-3"/>
          <c:y val="0.942409923131719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A935-4CD7-AC6F-CA2DEEC161FE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35-4CD7-AC6F-CA2DEEC16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5-49A2-B926-65C7DFE38C43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E-A935-4CD7-AC6F-CA2DEEC161F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35-4CD7-AC6F-CA2DEEC16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5-49A2-B926-65C7DFE38C43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A935-4CD7-AC6F-CA2DEEC161F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35-4CD7-AC6F-CA2DEEC16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B85-49A2-B926-65C7DFE38C43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A935-4CD7-AC6F-CA2DEEC161F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35-4CD7-AC6F-CA2DEEC16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85-49A2-B926-65C7DFE38C4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ysDot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5"/>
        <c:minorUnit val="0.1500000000000000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0"/>
          <c:y val="3.0221811536783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00-48E0-9B83-6C1B359B81C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00-48E0-9B83-6C1B359B8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00-48E0-9B83-6C1B359B81C6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900-48E0-9B83-6C1B359B81C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00-48E0-9B83-6C1B359B8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900-48E0-9B83-6C1B359B81C6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900-48E0-9B83-6C1B359B81C6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00-48E0-9B83-6C1B359B8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900-48E0-9B83-6C1B359B81C6}"/>
            </c:ext>
          </c:extLst>
        </c:ser>
        <c:ser>
          <c:idx val="3"/>
          <c:order val="3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F900-48E0-9B83-6C1B359B81C6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900-48E0-9B83-6C1B359B81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900-48E0-9B83-6C1B359B81C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734731411615352"/>
          <c:y val="3.022181153678325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7C1-47B0-8887-011A24ACD03A}"/>
              </c:ext>
            </c:extLst>
          </c:dPt>
          <c:dLbls>
            <c:dLbl>
              <c:idx val="0"/>
              <c:layout>
                <c:manualLayout>
                  <c:x val="2.5653430237314429E-3"/>
                  <c:y val="-1.402071256683644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C1-47B0-8887-011A24ACD03A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7C1-47B0-8887-011A24ACD03A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7C1-47B0-8887-011A24ACD03A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7C1-47B0-8887-011A24ACD03A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7C1-47B0-8887-011A24ACD03A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D7C1-47B0-8887-011A24ACD03A}"/>
              </c:ext>
            </c:extLst>
          </c:dPt>
          <c:dLbls>
            <c:dLbl>
              <c:idx val="0"/>
              <c:layout>
                <c:manualLayout>
                  <c:x val="-0.20266209887478398"/>
                  <c:y val="2.453624699196369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7C1-47B0-8887-011A24ACD03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7C1-47B0-8887-011A24ACD03A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D7C1-47B0-8887-011A24ACD03A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7C1-47B0-8887-011A24ACD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7C1-47B0-8887-011A24ACD03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455088822477256"/>
          <c:y val="0.92838921056488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18-4700-97CC-2C40B80FB347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018-4700-97CC-2C40B80FB347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018-4700-97CC-2C40B80FB347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018-4700-97CC-2C40B80FB347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018-4700-97CC-2C40B80FB347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018-4700-97CC-2C40B80FB347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018-4700-97CC-2C40B80FB347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A018-4700-97CC-2C40B80FB34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018-4700-97CC-2C40B80FB3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018-4700-97CC-2C40B80FB34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2.3343502553731187E-3"/>
          <c:y val="0.942409923131719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B7C-434A-A439-3401BA319542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B7C-434A-A439-3401BA3195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7C-434A-A439-3401BA319542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8B7C-434A-A439-3401BA319542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B7C-434A-A439-3401BA3195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7C-434A-A439-3401BA319542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8B7C-434A-A439-3401BA319542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B7C-434A-A439-3401BA3195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7C-434A-A439-3401BA319542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B7C-434A-A439-3401BA319542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B7C-434A-A439-3401BA3195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7C-434A-A439-3401BA31954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0"/>
          <c:y val="3.0221811536783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790-4E81-A0A3-C9464922A92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90-4E81-A0A3-C9464922A9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90-4E81-A0A3-C9464922A927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1790-4E81-A0A3-C9464922A92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90-4E81-A0A3-C9464922A9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90-4E81-A0A3-C9464922A927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790-4E81-A0A3-C9464922A927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90-4E81-A0A3-C9464922A9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790-4E81-A0A3-C9464922A927}"/>
            </c:ext>
          </c:extLst>
        </c:ser>
        <c:ser>
          <c:idx val="3"/>
          <c:order val="3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1790-4E81-A0A3-C9464922A927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790-4E81-A0A3-C9464922A92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790-4E81-A0A3-C9464922A92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1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4000">
              <a:srgbClr val="8BC167"/>
            </a:gs>
            <a:gs pos="80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rect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734731411615352"/>
          <c:y val="3.022181153678325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A4A-4696-BD9F-F651CC6EE16F}"/>
              </c:ext>
            </c:extLst>
          </c:dPt>
          <c:dLbls>
            <c:dLbl>
              <c:idx val="0"/>
              <c:layout>
                <c:manualLayout>
                  <c:x val="2.5653430237314429E-3"/>
                  <c:y val="-1.402071256683644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696-BD9F-F651CC6EE16F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696-BD9F-F651CC6EE16F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A4A-4696-BD9F-F651CC6EE16F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A4A-4696-BD9F-F651CC6EE16F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A4A-4696-BD9F-F651CC6EE16F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A4A-4696-BD9F-F651CC6EE16F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3A4A-4696-BD9F-F651CC6EE16F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A4A-4696-BD9F-F651CC6EE1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A4A-4696-BD9F-F651CC6EE16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1"/>
      </c:valAx>
      <c:spPr>
        <a:gradFill flip="none" rotWithShape="1">
          <a:gsLst>
            <a:gs pos="38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19000">
              <a:srgbClr val="8BC167"/>
            </a:gs>
            <a:gs pos="62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455088822477256"/>
          <c:y val="0.928389210564882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695-4E42-9C4C-04DB9BBCE55E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695-4E42-9C4C-04DB9BBCE55E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695-4E42-9C4C-04DB9BBCE55E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695-4E42-9C4C-04DB9BBCE55E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695-4E42-9C4C-04DB9BBCE55E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695-4E42-9C4C-04DB9BBCE55E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695-4E42-9C4C-04DB9BBCE55E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5695-4E42-9C4C-04DB9BBCE55E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695-4E42-9C4C-04DB9BBCE5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695-4E42-9C4C-04DB9BBCE55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0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1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80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rect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2.3343502553731187E-3"/>
          <c:y val="0.942409923131719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BFD-463F-AF18-FCC1423E6010}"/>
              </c:ext>
            </c:extLst>
          </c:dPt>
          <c:dLbls>
            <c:dLbl>
              <c:idx val="0"/>
              <c:dLblPos val="t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FD-463F-AF18-FCC1423E60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FD-463F-AF18-FCC1423E6010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BFD-463F-AF18-FCC1423E6010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FD-463F-AF18-FCC1423E60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FD-463F-AF18-FCC1423E6010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BFD-463F-AF18-FCC1423E6010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FD-463F-AF18-FCC1423E60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l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BFD-463F-AF18-FCC1423E6010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BBFD-463F-AF18-FCC1423E6010}"/>
              </c:ext>
            </c:extLst>
          </c:dPt>
          <c:dLbls>
            <c:dLbl>
              <c:idx val="0"/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FD-463F-AF18-FCC1423E60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BFD-463F-AF18-FCC1423E601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1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9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rect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/>
              <a:t>External criteria</a:t>
            </a:r>
          </a:p>
        </c:rich>
      </c:tx>
      <c:layout>
        <c:manualLayout>
          <c:xMode val="edge"/>
          <c:yMode val="edge"/>
          <c:x val="0.37629171140875928"/>
          <c:y val="3.02104538724900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8AF-4AF8-8FBF-5A0E5299AD71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AF-4AF8-8FBF-5A0E5299AD71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F8AF-4AF8-8FBF-5A0E5299AD71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F8AF-4AF8-8FBF-5A0E5299AD71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8AF-4AF8-8FBF-5A0E5299AD71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8AF-4AF8-8FBF-5A0E5299AD71}"/>
              </c:ext>
            </c:extLst>
          </c:dPt>
          <c:dLbls>
            <c:dLbl>
              <c:idx val="0"/>
              <c:layout>
                <c:manualLayout>
                  <c:x val="1.894947399520007E-2"/>
                  <c:y val="3.3648943427203822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AF-4AF8-8FBF-5A0E5299AD71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8AF-4AF8-8FBF-5A0E5299AD71}"/>
            </c:ext>
          </c:extLst>
        </c:ser>
        <c:ser>
          <c:idx val="3"/>
          <c:order val="3"/>
          <c:tx>
            <c:strRef>
              <c:f>SummaryMatrix!$A$114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F8AF-4AF8-8FBF-5A0E5299AD71}"/>
              </c:ext>
            </c:extLst>
          </c:dPt>
          <c:dLbls>
            <c:dLbl>
              <c:idx val="0"/>
              <c:layout>
                <c:manualLayout>
                  <c:x val="8.1228568236687681E-3"/>
                  <c:y val="-9.1809706671601744E-3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AF-4AF8-8FBF-5A0E5299AD71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SummaryMatrix!$C$114</c:f>
              <c:numCache>
                <c:formatCode>General</c:formatCode>
                <c:ptCount val="1"/>
              </c:numCache>
            </c:numRef>
          </c:xVal>
          <c:yVal>
            <c:numRef>
              <c:f>SummaryMatrix!$D$114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8AF-4AF8-8FBF-5A0E5299AD71}"/>
            </c:ext>
          </c:extLst>
        </c:ser>
        <c:ser>
          <c:idx val="4"/>
          <c:order val="4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x"/>
            <c:size val="8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642761447258568"/>
                  <c:y val="-9.487003022732179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436-459E-980E-BF437D3E0CBF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436-459E-980E-BF437D3E0CB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Opportunities</a:t>
                </a:r>
              </a:p>
            </c:rich>
          </c:tx>
          <c:layout>
            <c:manualLayout>
              <c:xMode val="edge"/>
              <c:yMode val="edge"/>
              <c:x val="2.4769216766244576E-4"/>
              <c:y val="0.334330233436491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60D-4B64-817E-1FB3697BFEDD}"/>
              </c:ext>
            </c:extLst>
          </c:dPt>
          <c:dLbls>
            <c:dLbl>
              <c:idx val="0"/>
              <c:layout>
                <c:manualLayout>
                  <c:x val="-0.11030975002045214"/>
                  <c:y val="0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0D-4B64-817E-1FB3697BFEDD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0D-4B64-817E-1FB3697BFEDD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860D-4B64-817E-1FB3697BFEDD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0D-4B64-817E-1FB3697BFEDD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60D-4B64-817E-1FB3697BFEDD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860D-4B64-817E-1FB3697BFEDD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60D-4B64-817E-1FB3697BFEDD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60D-4B64-817E-1FB3697BFEDD}"/>
              </c:ext>
            </c:extLst>
          </c:dPt>
          <c:dLbls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60D-4B64-817E-1FB3697BFED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/>
              <a:t>Internal criteria</a:t>
            </a:r>
          </a:p>
        </c:rich>
      </c:tx>
      <c:layout>
        <c:manualLayout>
          <c:xMode val="edge"/>
          <c:yMode val="edge"/>
          <c:x val="0.30784116284777313"/>
          <c:y val="1.52517315701021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A12-4F05-BCA4-7C6E9CB6B6A6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A12-4F05-BCA4-7C6E9CB6B6A6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12-4F05-BCA4-7C6E9CB6B6A6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9A12-4F05-BCA4-7C6E9CB6B6A6}"/>
              </c:ext>
            </c:extLst>
          </c:dPt>
          <c:dLbls>
            <c:dLbl>
              <c:idx val="0"/>
              <c:layout>
                <c:manualLayout>
                  <c:x val="2.5660521005561061E-2"/>
                  <c:y val="1.053477460663089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A12-4F05-BCA4-7C6E9CB6B6A6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12-4F05-BCA4-7C6E9CB6B6A6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A12-4F05-BCA4-7C6E9CB6B6A6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A12-4F05-BCA4-7C6E9CB6B6A6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A12-4F05-BCA4-7C6E9CB6B6A6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9A12-4F05-BCA4-7C6E9CB6B6A6}"/>
              </c:ext>
            </c:extLst>
          </c:dPt>
          <c:dLbls>
            <c:dLbl>
              <c:idx val="0"/>
              <c:layout>
                <c:manualLayout>
                  <c:x val="-0.16931263956627532"/>
                  <c:y val="-2.453624699196382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A12-4F05-BCA4-7C6E9CB6B6A6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A12-4F05-BCA4-7C6E9CB6B6A6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9A12-4F05-BCA4-7C6E9CB6B6A6}"/>
              </c:ext>
            </c:extLst>
          </c:dPt>
          <c:dLbls>
            <c:dLbl>
              <c:idx val="0"/>
              <c:layout>
                <c:manualLayout>
                  <c:x val="-0.2309652982873926"/>
                  <c:y val="-3.457956813645436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A12-4F05-BCA4-7C6E9CB6B6A6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A12-4F05-BCA4-7C6E9CB6B6A6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9A12-4F05-BCA4-7C6E9CB6B6A6}"/>
              </c:ext>
            </c:extLst>
          </c:dPt>
          <c:dLbls>
            <c:dLbl>
              <c:idx val="0"/>
              <c:layout>
                <c:manualLayout>
                  <c:x val="-0.22576934586078623"/>
                  <c:y val="-2.62983643103403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A12-4F05-BCA4-7C6E9CB6B6A6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A12-4F05-BCA4-7C6E9CB6B6A6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9A12-4F05-BCA4-7C6E9CB6B6A6}"/>
              </c:ext>
            </c:extLst>
          </c:dPt>
          <c:dLbls>
            <c:dLbl>
              <c:idx val="0"/>
              <c:layout>
                <c:manualLayout>
                  <c:x val="-0.17700866863746967"/>
                  <c:y val="-1.75258907085456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A12-4F05-BCA4-7C6E9CB6B6A6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A12-4F05-BCA4-7C6E9CB6B6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Stremgths</a:t>
                </a:r>
              </a:p>
            </c:rich>
          </c:tx>
          <c:layout>
            <c:manualLayout>
              <c:xMode val="edge"/>
              <c:yMode val="edge"/>
              <c:x val="0.94743100731342678"/>
              <c:y val="0.325981516238808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BFF-4109-9F25-B21ED07698C4}"/>
              </c:ext>
            </c:extLst>
          </c:dPt>
          <c:dLbls>
            <c:dLbl>
              <c:idx val="0"/>
              <c:layout>
                <c:manualLayout>
                  <c:x val="1.7960321629156735E-2"/>
                  <c:y val="4.9100315423961031E-2"/>
                </c:manualLayout>
              </c:layout>
              <c:spPr>
                <a:solidFill>
                  <a:srgbClr val="DDE5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s-419"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8BFF-4109-9F25-B21ED07698C4}"/>
                </c:ext>
              </c:extLst>
            </c:dLbl>
            <c:spPr>
              <a:solidFill>
                <a:srgbClr val="DDE5FF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419"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FF-4109-9F25-B21ED07698C4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8BFF-4109-9F25-B21ED07698C4}"/>
              </c:ext>
            </c:extLst>
          </c:dPt>
          <c:dLbls>
            <c:dLbl>
              <c:idx val="0"/>
              <c:layout>
                <c:manualLayout>
                  <c:x val="5.1321042011122121E-3"/>
                  <c:y val="-8.7563779740599132E-2"/>
                </c:manualLayout>
              </c:layout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8BFF-4109-9F25-B21ED07698C4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FF-4109-9F25-B21ED07698C4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8BFF-4109-9F25-B21ED07698C4}"/>
              </c:ext>
            </c:extLst>
          </c:dPt>
          <c:dLbls>
            <c:dLbl>
              <c:idx val="0"/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8BFF-4109-9F25-B21ED07698C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BFF-4109-9F25-B21ED07698C4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BFF-4109-9F25-B21ED07698C4}"/>
              </c:ext>
            </c:extLst>
          </c:dPt>
          <c:dLbls>
            <c:dLbl>
              <c:idx val="0"/>
              <c:layout>
                <c:manualLayout>
                  <c:x val="0.10519762945278231"/>
                  <c:y val="-7.3158432430029214E-3"/>
                </c:manualLayout>
              </c:layout>
              <c:spPr>
                <a:solidFill>
                  <a:srgbClr val="DDE5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8BFF-4109-9F25-B21ED07698C4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BFF-4109-9F25-B21ED07698C4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8BFF-4109-9F25-B21ED07698C4}"/>
              </c:ext>
            </c:extLst>
          </c:dPt>
          <c:dLbls>
            <c:dLbl>
              <c:idx val="0"/>
              <c:layout>
                <c:manualLayout>
                  <c:x val="-0.17705759493837139"/>
                  <c:y val="0.10315716997097295"/>
                </c:manualLayout>
              </c:layout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8BFF-4109-9F25-B21ED07698C4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BFF-4109-9F25-B21ED07698C4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8BFF-4109-9F25-B21ED07698C4}"/>
              </c:ext>
            </c:extLst>
          </c:dPt>
          <c:dLbls>
            <c:dLbl>
              <c:idx val="0"/>
              <c:layout>
                <c:manualLayout>
                  <c:x val="7.7141183580418495E-3"/>
                  <c:y val="-4.0514236900560781E-2"/>
                </c:manualLayout>
              </c:layout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8BFF-4109-9F25-B21ED07698C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BFF-4109-9F25-B21ED07698C4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star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8BFF-4109-9F25-B21ED07698C4}"/>
              </c:ext>
            </c:extLst>
          </c:dPt>
          <c:dLbls>
            <c:dLbl>
              <c:idx val="0"/>
              <c:layout>
                <c:manualLayout>
                  <c:x val="-0.2770853365882458"/>
                  <c:y val="-2.5993342489925887E-2"/>
                </c:manualLayout>
              </c:layout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3-8BFF-4109-9F25-B21ED07698C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BFF-4109-9F25-B21ED07698C4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8BFF-4109-9F25-B21ED07698C4}"/>
              </c:ext>
            </c:extLst>
          </c:dPt>
          <c:dLbls>
            <c:dLbl>
              <c:idx val="0"/>
              <c:layout>
                <c:manualLayout>
                  <c:x val="3.0792625206673269E-2"/>
                  <c:y val="9.0583220421308897E-3"/>
                </c:manualLayout>
              </c:layout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6-8BFF-4109-9F25-B21ED07698C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BFF-4109-9F25-B21ED07698C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400" b="1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0"/>
          <c:y val="3.02218115367832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792B-43FC-BC37-C12CB010BA71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2B-43FC-BC37-C12CB010BA71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2B-43FC-BC37-C12CB010BA71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792B-43FC-BC37-C12CB010BA71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792B-43FC-BC37-C12CB010BA71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92B-43FC-BC37-C12CB010BA71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92B-43FC-BC37-C12CB010BA71}"/>
              </c:ext>
            </c:extLst>
          </c:dPt>
          <c:dLbls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92B-43FC-BC37-C12CB010BA71}"/>
            </c:ext>
          </c:extLst>
        </c:ser>
        <c:ser>
          <c:idx val="3"/>
          <c:order val="3"/>
          <c:tx>
            <c:strRef>
              <c:f>SummaryMatrix!$A$114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2B-43FC-BC37-C12CB010BA71}"/>
              </c:ext>
            </c:extLst>
          </c:dPt>
          <c:dLbls>
            <c:dLbl>
              <c:idx val="0"/>
              <c:layout>
                <c:manualLayout>
                  <c:x val="8.1228568236687681E-3"/>
                  <c:y val="-9.1809706671601744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2B-43FC-BC37-C12CB010BA71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SummaryMatrix!$C$114</c:f>
              <c:numCache>
                <c:formatCode>General</c:formatCode>
                <c:ptCount val="1"/>
              </c:numCache>
            </c:numRef>
          </c:xVal>
          <c:yVal>
            <c:numRef>
              <c:f>SummaryMatrix!$D$114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92B-43FC-BC37-C12CB010BA71}"/>
            </c:ext>
          </c:extLst>
        </c:ser>
        <c:ser>
          <c:idx val="4"/>
          <c:order val="4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x"/>
            <c:size val="8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642761447258568"/>
                  <c:y val="-9.487003022732179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2B-43FC-BC37-C12CB010BA71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92B-43FC-BC37-C12CB010BA7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External</a:t>
            </a:r>
          </a:p>
        </c:rich>
      </c:tx>
      <c:layout>
        <c:manualLayout>
          <c:xMode val="edge"/>
          <c:yMode val="edge"/>
          <c:x val="2.3343502553731187E-3"/>
          <c:y val="0.942409923131719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29A-4A86-9FCD-55DC414B94DD}"/>
              </c:ext>
            </c:extLst>
          </c:dPt>
          <c:dLbls>
            <c:dLbl>
              <c:idx val="0"/>
              <c:layout>
                <c:manualLayout>
                  <c:x val="-0.11030975002045214"/>
                  <c:y val="0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29A-4A86-9FCD-55DC414B94DD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9A-4A86-9FCD-55DC414B94DD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29A-4A86-9FCD-55DC414B94DD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9A-4A86-9FCD-55DC414B94DD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29A-4A86-9FCD-55DC414B94DD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29A-4A86-9FCD-55DC414B94DD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29A-4A86-9FCD-55DC414B94DD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B29A-4A86-9FCD-55DC414B94DD}"/>
              </c:ext>
            </c:extLst>
          </c:dPt>
          <c:dLbls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29A-4A86-9FCD-55DC414B94D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455088822477256"/>
          <c:y val="0.92838921056488288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78-41C2-B59C-CFAA118A797D}"/>
              </c:ext>
            </c:extLst>
          </c:dPt>
          <c:dLbls>
            <c:dLbl>
              <c:idx val="0"/>
              <c:spPr>
                <a:solidFill>
                  <a:srgbClr val="BFAFE7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s-419"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C178-41C2-B59C-CFAA118A797D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419"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78-41C2-B59C-CFAA118A797D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C178-41C2-B59C-CFAA118A797D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C178-41C2-B59C-CFAA118A797D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78-41C2-B59C-CFAA118A797D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78-41C2-B59C-CFAA118A797D}"/>
              </c:ext>
            </c:extLst>
          </c:dPt>
          <c:dLbls>
            <c:dLbl>
              <c:idx val="0"/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C178-41C2-B59C-CFAA118A797D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78-41C2-B59C-CFAA118A797D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C178-41C2-B59C-CFAA118A797D}"/>
              </c:ext>
            </c:extLst>
          </c:dPt>
          <c:dLbls>
            <c:dLbl>
              <c:idx val="0"/>
              <c:spPr>
                <a:solidFill>
                  <a:srgbClr val="BFAFE7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C178-41C2-B59C-CFAA118A797D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78-41C2-B59C-CFAA118A797D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78-41C2-B59C-CFAA118A797D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C178-41C2-B59C-CFAA118A797D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78-41C2-B59C-CFAA118A797D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C178-41C2-B59C-CFAA118A797D}"/>
              </c:ext>
            </c:extLst>
          </c:dPt>
          <c:dLbls>
            <c:dLbl>
              <c:idx val="0"/>
              <c:spPr>
                <a:solidFill>
                  <a:srgbClr val="BFAFE7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C178-41C2-B59C-CFAA118A797D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78-41C2-B59C-CFAA118A797D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C178-41C2-B59C-CFAA118A797D}"/>
              </c:ext>
            </c:extLst>
          </c:dPt>
          <c:dLbls>
            <c:dLbl>
              <c:idx val="0"/>
              <c:layout>
                <c:manualLayout>
                  <c:x val="-0.17444332561373821"/>
                  <c:y val="-3.505178141709115E-2"/>
                </c:manualLayout>
              </c:layout>
              <c:spPr>
                <a:solidFill>
                  <a:srgbClr val="BFAFE7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3-C178-41C2-B59C-CFAA118A797D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178-41C2-B59C-CFAA118A797D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C178-41C2-B59C-CFAA118A797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6-C178-41C2-B59C-CFAA118A797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178-41C2-B59C-CFAA118A797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100"/>
              <a:t>Internal</a:t>
            </a:r>
          </a:p>
        </c:rich>
      </c:tx>
      <c:layout>
        <c:manualLayout>
          <c:xMode val="edge"/>
          <c:yMode val="edge"/>
          <c:x val="0.87734731411615352"/>
          <c:y val="3.022181153678325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B17-489E-A14D-5D1FBA994ACF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B17-489E-A14D-5D1FBA994ACF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17-489E-A14D-5D1FBA994ACF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B17-489E-A14D-5D1FBA994ACF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17-489E-A14D-5D1FBA994ACF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B17-489E-A14D-5D1FBA994ACF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B17-489E-A14D-5D1FBA994ACF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B17-489E-A14D-5D1FBA994ACF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17-489E-A14D-5D1FBA994ACF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B17-489E-A14D-5D1FBA994ACF}"/>
              </c:ext>
            </c:extLst>
          </c:dPt>
          <c:dLbls>
            <c:dLbl>
              <c:idx val="0"/>
              <c:layout>
                <c:manualLayout>
                  <c:x val="-0.16931263956627532"/>
                  <c:y val="-2.453624699196382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17-489E-A14D-5D1FBA994ACF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B17-489E-A14D-5D1FBA994ACF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4B17-489E-A14D-5D1FBA994ACF}"/>
              </c:ext>
            </c:extLst>
          </c:dPt>
          <c:dLbls>
            <c:dLbl>
              <c:idx val="0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B17-489E-A14D-5D1FBA994ACF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B17-489E-A14D-5D1FBA994ACF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4B17-489E-A14D-5D1FBA994ACF}"/>
              </c:ext>
            </c:extLst>
          </c:dPt>
          <c:dLbls>
            <c:dLbl>
              <c:idx val="0"/>
              <c:layout>
                <c:manualLayout>
                  <c:x val="-0.15648592444761811"/>
                  <c:y val="-2.1031068850254714E-2"/>
                </c:manualLayout>
              </c:layout>
              <c:spPr>
                <a:solidFill>
                  <a:srgbClr val="FFCD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0-4B17-489E-A14D-5D1FBA994ACF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B17-489E-A14D-5D1FBA994ACF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4B17-489E-A14D-5D1FBA994ACF}"/>
              </c:ext>
            </c:extLst>
          </c:dPt>
          <c:dLbls>
            <c:dLbl>
              <c:idx val="0"/>
              <c:layout>
                <c:manualLayout>
                  <c:x val="-0.17700866863746967"/>
                  <c:y val="-1.752589070854566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B17-489E-A14D-5D1FBA994ACF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B17-489E-A14D-5D1FBA994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/>
              <a:t>External criteria</a:t>
            </a:r>
          </a:p>
        </c:rich>
      </c:tx>
      <c:layout>
        <c:manualLayout>
          <c:xMode val="edge"/>
          <c:yMode val="edge"/>
          <c:x val="0.37629172424656926"/>
          <c:y val="6.081363620597292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13033284201144893"/>
          <c:y val="0.1499865726837327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SummaryMatrix!$A$111</c:f>
              <c:strCache>
                <c:ptCount val="1"/>
                <c:pt idx="0">
                  <c:v>Market 
potential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50-414F-8595-E242EFE1FA94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SummaryMatrix!$D$111</c:f>
              <c:numCache>
                <c:formatCode>General</c:formatCode>
                <c:ptCount val="1"/>
                <c:pt idx="0">
                  <c:v>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50-414F-8595-E242EFE1FA94}"/>
            </c:ext>
          </c:extLst>
        </c:ser>
        <c:ser>
          <c:idx val="1"/>
          <c:order val="1"/>
          <c:tx>
            <c:strRef>
              <c:f>SummaryMatrix!$A$112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3950-414F-8595-E242EFE1FA94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4-3950-414F-8595-E242EFE1FA94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SummaryMatrix!$C$112</c:f>
              <c:numCache>
                <c:formatCode>General</c:formatCode>
                <c:ptCount val="1"/>
              </c:numCache>
            </c:numRef>
          </c:xVal>
          <c:yVal>
            <c:numRef>
              <c:f>SummaryMatrix!$D$112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950-414F-8595-E242EFE1FA94}"/>
            </c:ext>
          </c:extLst>
        </c:ser>
        <c:ser>
          <c:idx val="2"/>
          <c:order val="2"/>
          <c:tx>
            <c:strRef>
              <c:f>SummaryMatrix!$A$113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950-414F-8595-E242EFE1FA94}"/>
              </c:ext>
            </c:extLst>
          </c:dPt>
          <c:dLbls>
            <c:dLbl>
              <c:idx val="0"/>
              <c:layout>
                <c:manualLayout>
                  <c:x val="1.894947399520007E-2"/>
                  <c:y val="3.3648943427203822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950-414F-8595-E242EFE1FA94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SummaryMatrix!$C$113</c:f>
              <c:numCache>
                <c:formatCode>General</c:formatCode>
                <c:ptCount val="1"/>
              </c:numCache>
            </c:numRef>
          </c:xVal>
          <c:yVal>
            <c:numRef>
              <c:f>SummaryMatrix!$D$113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50-414F-8595-E242EFE1FA94}"/>
            </c:ext>
          </c:extLst>
        </c:ser>
        <c:ser>
          <c:idx val="3"/>
          <c:order val="3"/>
          <c:tx>
            <c:strRef>
              <c:f>SummaryMatrix!$A$114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3950-414F-8595-E242EFE1FA94}"/>
              </c:ext>
            </c:extLst>
          </c:dPt>
          <c:dLbls>
            <c:dLbl>
              <c:idx val="0"/>
              <c:layout>
                <c:manualLayout>
                  <c:x val="8.1228568236687681E-3"/>
                  <c:y val="-9.1809706671601744E-3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50-414F-8595-E242EFE1FA9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SummaryMatrix!$C$114</c:f>
              <c:numCache>
                <c:formatCode>General</c:formatCode>
                <c:ptCount val="1"/>
              </c:numCache>
            </c:numRef>
          </c:xVal>
          <c:yVal>
            <c:numRef>
              <c:f>SummaryMatrix!$D$114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950-414F-8595-E242EFE1FA94}"/>
            </c:ext>
          </c:extLst>
        </c:ser>
        <c:ser>
          <c:idx val="4"/>
          <c:order val="4"/>
          <c:tx>
            <c:strRef>
              <c:f>SummaryMatrix!$A$115</c:f>
              <c:strCache>
                <c:ptCount val="1"/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x"/>
            <c:size val="8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1642761447258568"/>
                  <c:y val="-9.4870030227321794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950-414F-8595-E242EFE1FA94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SummaryMatrix!$C$115</c:f>
              <c:numCache>
                <c:formatCode>General</c:formatCode>
                <c:ptCount val="1"/>
              </c:numCache>
            </c:numRef>
          </c:xVal>
          <c:yVal>
            <c:numRef>
              <c:f>SummaryMatrix!$D$115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950-414F-8595-E242EFE1FA9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  <c:dispUnits>
          <c:builtInUnit val="tr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</c:dispUnitsLbl>
        </c:dispUnits>
      </c:valAx>
      <c:valAx>
        <c:axId val="859329728"/>
        <c:scaling>
          <c:orientation val="minMax"/>
          <c:max val="5"/>
          <c:min val="3"/>
        </c:scaling>
        <c:delete val="0"/>
        <c:axPos val="l"/>
        <c:majorGridlines>
          <c:spPr>
            <a:ln w="12700" cap="flat" cmpd="sng" algn="ctr">
              <a:gradFill>
                <a:gsLst>
                  <a:gs pos="75000">
                    <a:srgbClr val="F4FB9D"/>
                  </a:gs>
                  <a:gs pos="240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50000">
                    <a:srgbClr val="8BC167"/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 b="1"/>
                  <a:t>Opportunities</a:t>
                </a:r>
              </a:p>
            </c:rich>
          </c:tx>
          <c:layout>
            <c:manualLayout>
              <c:xMode val="edge"/>
              <c:yMode val="edge"/>
              <c:x val="1.107631754583711E-2"/>
              <c:y val="0.34350745788749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l="100000" b="100000"/>
          </a:path>
          <a:tileRect t="-100000" r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33283239175833"/>
          <c:y val="0.1079244349832234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SummaryMatrix!$A$123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93-444E-BE12-335BCBB9AC12}"/>
              </c:ext>
            </c:extLst>
          </c:dPt>
          <c:dLbls>
            <c:dLbl>
              <c:idx val="0"/>
              <c:layout>
                <c:manualLayout>
                  <c:x val="-0.11030975002045214"/>
                  <c:y val="0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093-444E-BE12-335BCBB9AC12}"/>
                </c:ext>
              </c:extLst>
            </c:dLbl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SummaryMatrix!$B$123</c:f>
              <c:numCache>
                <c:formatCode>General</c:formatCode>
                <c:ptCount val="1"/>
              </c:numCache>
            </c:numRef>
          </c:xVal>
          <c:yVal>
            <c:numRef>
              <c:f>SummaryMatrix!$C$123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93-444E-BE12-335BCBB9AC12}"/>
            </c:ext>
          </c:extLst>
        </c:ser>
        <c:ser>
          <c:idx val="1"/>
          <c:order val="1"/>
          <c:tx>
            <c:strRef>
              <c:f>SummaryMatrix!$A$124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4093-444E-BE12-335BCBB9AC12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93-444E-BE12-335BCBB9AC12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SummaryMatrix!$B$124</c:f>
              <c:numCache>
                <c:formatCode>General</c:formatCode>
                <c:ptCount val="1"/>
              </c:numCache>
            </c:numRef>
          </c:xVal>
          <c:yVal>
            <c:numRef>
              <c:f>SummaryMatrix!$C$124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093-444E-BE12-335BCBB9AC12}"/>
            </c:ext>
          </c:extLst>
        </c:ser>
        <c:ser>
          <c:idx val="2"/>
          <c:order val="2"/>
          <c:tx>
            <c:strRef>
              <c:f>SummaryMatrix!$A$125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11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93-444E-BE12-335BCBB9AC12}"/>
              </c:ext>
            </c:extLst>
          </c:dPt>
          <c:dLbls>
            <c:spPr>
              <a:solidFill>
                <a:srgbClr val="5B9BD5">
                  <a:lumMod val="20000"/>
                  <a:lumOff val="80000"/>
                </a:srgb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SummaryMatrix!$B$125</c:f>
              <c:numCache>
                <c:formatCode>General</c:formatCode>
                <c:ptCount val="1"/>
              </c:numCache>
            </c:numRef>
          </c:xVal>
          <c:yVal>
            <c:numRef>
              <c:f>SummaryMatrix!$C$125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093-444E-BE12-335BCBB9AC12}"/>
            </c:ext>
          </c:extLst>
        </c:ser>
        <c:ser>
          <c:idx val="3"/>
          <c:order val="3"/>
          <c:tx>
            <c:strRef>
              <c:f>SummaryMatrix!$A$126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noFill/>
              <a:ln w="9525">
                <a:solidFill>
                  <a:schemeClr val="bg2">
                    <a:lumMod val="10000"/>
                  </a:schemeClr>
                </a:solidFill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chemeClr val="tx1">
                        <a:lumMod val="85000"/>
                        <a:lumOff val="15000"/>
                      </a:schemeClr>
                    </a:solidFill>
                  </a14:hiddenFill>
                </a:ext>
              </a:extLst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4093-444E-BE12-335BCBB9AC12}"/>
              </c:ext>
            </c:extLst>
          </c:dPt>
          <c:dLbls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SummaryMatrix!$B$126</c:f>
              <c:numCache>
                <c:formatCode>General</c:formatCode>
                <c:ptCount val="1"/>
              </c:numCache>
            </c:numRef>
          </c:xVal>
          <c:yVal>
            <c:numRef>
              <c:f>SummaryMatrix!$C$126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093-444E-BE12-335BCBB9AC1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l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 b="1"/>
                  <a:t>Threats</a:t>
                </a:r>
              </a:p>
            </c:rich>
          </c:tx>
          <c:layout>
            <c:manualLayout>
              <c:xMode val="edge"/>
              <c:yMode val="edge"/>
              <c:x val="0"/>
              <c:y val="0.431136911430220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t" anchorCtr="0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l="100000" t="100000"/>
          </a:path>
          <a:tileRect r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sz="1400" b="1"/>
              <a:t>Internal criteria</a:t>
            </a:r>
          </a:p>
        </c:rich>
      </c:tx>
      <c:layout>
        <c:manualLayout>
          <c:xMode val="edge"/>
          <c:yMode val="edge"/>
          <c:x val="0.30784116284777313"/>
          <c:y val="1.52517315701021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2.2215870585514295E-2"/>
          <c:y val="0.15699692896715095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SummaryMatrix!$H$111</c:f>
              <c:strCache>
                <c:ptCount val="1"/>
                <c:pt idx="0">
                  <c:v>Commitment of 
key actors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68-4572-A5B3-9AA94A5539C5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E868-4572-A5B3-9AA94A5539C5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SummaryMatrix!$I$111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SummaryMatrix!$J$111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68-4572-A5B3-9AA94A5539C5}"/>
            </c:ext>
          </c:extLst>
        </c:ser>
        <c:ser>
          <c:idx val="1"/>
          <c:order val="1"/>
          <c:tx>
            <c:strRef>
              <c:f>SummaryMatrix!$H$112</c:f>
              <c:strCache>
                <c:ptCount val="1"/>
                <c:pt idx="0">
                  <c:v>Degree of control over 
product specification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E868-4572-A5B3-9AA94A5539C5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868-4572-A5B3-9AA94A5539C5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SummaryMatrix!$I$112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68-4572-A5B3-9AA94A5539C5}"/>
            </c:ext>
          </c:extLst>
        </c:ser>
        <c:ser>
          <c:idx val="2"/>
          <c:order val="2"/>
          <c:tx>
            <c:strRef>
              <c:f>SummaryMatrix!$H$113</c:f>
              <c:strCache>
                <c:ptCount val="1"/>
                <c:pt idx="0">
                  <c:v>Reuse potential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E868-4572-A5B3-9AA94A5539C5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E868-4572-A5B3-9AA94A5539C5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SummaryMatrix!$J$113</c:f>
              <c:numCache>
                <c:formatCode>General</c:formatCode>
                <c:ptCount val="1"/>
                <c:pt idx="0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68-4572-A5B3-9AA94A5539C5}"/>
            </c:ext>
          </c:extLst>
        </c:ser>
        <c:ser>
          <c:idx val="3"/>
          <c:order val="3"/>
          <c:tx>
            <c:strRef>
              <c:f>SummaryMatrix!$H$114</c:f>
              <c:strCache>
                <c:ptCount val="1"/>
                <c:pt idx="0">
                  <c:v> Process discipline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E868-4572-A5B3-9AA94A5539C5}"/>
              </c:ext>
            </c:extLst>
          </c:dPt>
          <c:dLbls>
            <c:dLbl>
              <c:idx val="0"/>
              <c:layout>
                <c:manualLayout>
                  <c:x val="-0.16931263956627532"/>
                  <c:y val="-2.453624699196382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868-4572-A5B3-9AA94A5539C5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SummaryMatrix!$I$114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SummaryMatrix!$J$114</c:f>
              <c:numCache>
                <c:formatCode>General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868-4572-A5B3-9AA94A5539C5}"/>
            </c:ext>
          </c:extLst>
        </c:ser>
        <c:ser>
          <c:idx val="4"/>
          <c:order val="4"/>
          <c:tx>
            <c:strRef>
              <c:f>SummaryMatrix!$H$115</c:f>
              <c:strCache>
                <c:ptCount val="1"/>
                <c:pt idx="0">
                  <c:v>Commonality and 
variability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E868-4572-A5B3-9AA94A5539C5}"/>
              </c:ext>
            </c:extLst>
          </c:dPt>
          <c:dLbls>
            <c:dLbl>
              <c:idx val="0"/>
              <c:layout>
                <c:manualLayout>
                  <c:x val="-0.13858745074264928"/>
                  <c:y val="-2.14111462718473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868-4572-A5B3-9AA94A5539C5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SummaryMatrix!$J$115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868-4572-A5B3-9AA94A5539C5}"/>
            </c:ext>
          </c:extLst>
        </c:ser>
        <c:ser>
          <c:idx val="5"/>
          <c:order val="5"/>
          <c:tx>
            <c:strRef>
              <c:f>SummaryMatrix!$H$116</c:f>
              <c:strCache>
                <c:ptCount val="1"/>
                <c:pt idx="0">
                  <c:v>Software engineering 
capability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6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E868-4572-A5B3-9AA94A5539C5}"/>
              </c:ext>
            </c:extLst>
          </c:dPt>
          <c:dLbls>
            <c:dLbl>
              <c:idx val="0"/>
              <c:layout>
                <c:manualLayout>
                  <c:x val="-0.15648592444761811"/>
                  <c:y val="-2.1031068850254714E-2"/>
                </c:manualLayout>
              </c:layout>
              <c:spPr>
                <a:solidFill>
                  <a:srgbClr val="FFCD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10-E868-4572-A5B3-9AA94A5539C5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SummaryMatrix!$J$116</c:f>
              <c:numCache>
                <c:formatCode>General</c:formatCode>
                <c:ptCount val="1"/>
                <c:pt idx="0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868-4572-A5B3-9AA94A5539C5}"/>
            </c:ext>
          </c:extLst>
        </c:ser>
        <c:ser>
          <c:idx val="6"/>
          <c:order val="6"/>
          <c:tx>
            <c:strRef>
              <c:f>SummaryMatrix!$H$117</c:f>
              <c:strCache>
                <c:ptCount val="1"/>
                <c:pt idx="0">
                  <c:v>Reuse aptitute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/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E868-4572-A5B3-9AA94A5539C5}"/>
              </c:ext>
            </c:extLst>
          </c:dPt>
          <c:dLbls>
            <c:dLbl>
              <c:idx val="0"/>
              <c:layout>
                <c:manualLayout>
                  <c:x val="-0.17700866863746967"/>
                  <c:y val="-1.75258907085456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868-4572-A5B3-9AA94A5539C5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SummaryMatrix!$I$117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SummaryMatrix!$J$117</c:f>
              <c:numCache>
                <c:formatCode>General</c:formatCode>
                <c:ptCount val="1"/>
                <c:pt idx="0">
                  <c:v>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868-4572-A5B3-9AA94A553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5"/>
          <c:min val="3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chemeClr val="accent4">
                      <a:lumMod val="40000"/>
                      <a:lumOff val="60000"/>
                    </a:schemeClr>
                  </a:gs>
                  <a:gs pos="31000">
                    <a:srgbClr val="8BC167"/>
                  </a:gs>
                  <a:gs pos="52600">
                    <a:schemeClr val="accent6">
                      <a:lumMod val="40000"/>
                      <a:lumOff val="60000"/>
                    </a:schemeClr>
                  </a:gs>
                  <a:gs pos="0">
                    <a:schemeClr val="accent6">
                      <a:lumMod val="50000"/>
                    </a:schemeClr>
                  </a:gs>
                  <a:gs pos="100000">
                    <a:schemeClr val="accent4">
                      <a:lumMod val="20000"/>
                      <a:lumOff val="8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 b="1"/>
                  <a:t>Stremgths</a:t>
                </a:r>
              </a:p>
            </c:rich>
          </c:tx>
          <c:layout>
            <c:manualLayout>
              <c:xMode val="edge"/>
              <c:yMode val="edge"/>
              <c:x val="0.91920765239804025"/>
              <c:y val="0.325981567178947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t" anchorCtr="0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6">
                <a:lumMod val="40000"/>
                <a:lumOff val="60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8BC167"/>
            </a:gs>
            <a:gs pos="75000">
              <a:schemeClr val="accent4">
                <a:lumMod val="40000"/>
                <a:lumOff val="60000"/>
              </a:schemeClr>
            </a:gs>
            <a:gs pos="0">
              <a:schemeClr val="accent6">
                <a:lumMod val="50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215870585514295E-2"/>
          <c:y val="0.11142961312493253"/>
          <c:w val="0.81297295190001928"/>
          <c:h val="0.76593607162265731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SummaryMatrix!$H$123</c:f>
              <c:strCache>
                <c:ptCount val="1"/>
                <c:pt idx="0">
                  <c:v>Potential products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EE-4802-9039-4A8E9D5DA7B3}"/>
              </c:ext>
            </c:extLst>
          </c:dPt>
          <c:dLbls>
            <c:dLbl>
              <c:idx val="0"/>
              <c:layout>
                <c:manualLayout>
                  <c:x val="1.7960321629156735E-2"/>
                  <c:y val="4.9100315423961031E-2"/>
                </c:manualLayout>
              </c:layout>
              <c:spPr>
                <a:solidFill>
                  <a:srgbClr val="BFAFE7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s-419"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10EE-4802-9039-4A8E9D5DA7B3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419"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SummaryMatrix!$I$123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SummaryMatrix!$J$123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EE-4802-9039-4A8E9D5DA7B3}"/>
            </c:ext>
          </c:extLst>
        </c:ser>
        <c:ser>
          <c:idx val="1"/>
          <c:order val="1"/>
          <c:tx>
            <c:strRef>
              <c:f>SummaryMatrix!$H$124</c:f>
              <c:strCache>
                <c:ptCount val="1"/>
                <c:pt idx="0">
                  <c:v>Product line awareness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10EE-4802-9039-4A8E9D5DA7B3}"/>
              </c:ext>
            </c:extLst>
          </c:dPt>
          <c:dLbls>
            <c:dLbl>
              <c:idx val="0"/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4-10EE-4802-9039-4A8E9D5DA7B3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SummaryMatrix!$I$124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SummaryMatrix!$J$124</c:f>
              <c:numCache>
                <c:formatCode>General</c:formatCode>
                <c:ptCount val="1"/>
                <c:pt idx="0">
                  <c:v>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0EE-4802-9039-4A8E9D5DA7B3}"/>
            </c:ext>
          </c:extLst>
        </c:ser>
        <c:ser>
          <c:idx val="2"/>
          <c:order val="2"/>
          <c:tx>
            <c:strRef>
              <c:f>SummaryMatrix!$H$125</c:f>
              <c:strCache>
                <c:ptCount val="1"/>
                <c:pt idx="0">
                  <c:v>Attitude for change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0"/>
            <c:marker>
              <c:symbol val="star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EE-4802-9039-4A8E9D5DA7B3}"/>
              </c:ext>
            </c:extLst>
          </c:dPt>
          <c:dLbls>
            <c:dLbl>
              <c:idx val="0"/>
              <c:spPr>
                <a:solidFill>
                  <a:srgbClr val="FFCD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10EE-4802-9039-4A8E9D5DA7B3}"/>
                </c:ext>
              </c:extLst>
            </c:dLbl>
            <c:spPr>
              <a:solidFill>
                <a:srgbClr val="FFCD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SummaryMatrix!$I$125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SummaryMatrix!$J$125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0EE-4802-9039-4A8E9D5DA7B3}"/>
            </c:ext>
          </c:extLst>
        </c:ser>
        <c:ser>
          <c:idx val="3"/>
          <c:order val="3"/>
          <c:tx>
            <c:strRef>
              <c:f>SummaryMatrix!$H$126</c:f>
              <c:strCache>
                <c:ptCount val="1"/>
                <c:pt idx="0">
                  <c:v>Domain knowledge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10EE-4802-9039-4A8E9D5DA7B3}"/>
              </c:ext>
            </c:extLst>
          </c:dPt>
          <c:dLbls>
            <c:dLbl>
              <c:idx val="0"/>
              <c:layout>
                <c:manualLayout>
                  <c:x val="9.2367368378520345E-2"/>
                  <c:y val="-5.2607480811386872E-2"/>
                </c:manualLayout>
              </c:layout>
              <c:spPr>
                <a:solidFill>
                  <a:srgbClr val="BFAFE7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A-10EE-4802-9039-4A8E9D5DA7B3}"/>
                </c:ext>
              </c:extLst>
            </c:dLbl>
            <c:spPr>
              <a:solidFill>
                <a:srgbClr val="BFAFE7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SummaryMatrix!$I$126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SummaryMatrix!$J$126</c:f>
              <c:numCache>
                <c:formatCode>General</c:formatCode>
                <c:ptCount val="1"/>
                <c:pt idx="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0EE-4802-9039-4A8E9D5DA7B3}"/>
            </c:ext>
          </c:extLst>
        </c:ser>
        <c:ser>
          <c:idx val="4"/>
          <c:order val="4"/>
          <c:tx>
            <c:strRef>
              <c:f>SummaryMatrix!$H$127</c:f>
              <c:strCache>
                <c:ptCount val="1"/>
                <c:pt idx="0">
                  <c:v> Customers conexión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0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EE-4802-9039-4A8E9D5DA7B3}"/>
              </c:ext>
            </c:extLst>
          </c:dPt>
          <c:dLbls>
            <c:dLbl>
              <c:idx val="0"/>
              <c:layout>
                <c:manualLayout>
                  <c:x val="0"/>
                  <c:y val="0.11221556433190735"/>
                </c:manualLayout>
              </c:layout>
              <c:spPr>
                <a:solidFill>
                  <a:srgbClr val="5B9BD5">
                    <a:lumMod val="20000"/>
                    <a:lumOff val="80000"/>
                  </a:srgbClr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D-10EE-4802-9039-4A8E9D5DA7B3}"/>
                </c:ext>
              </c:extLst>
            </c:dLbl>
            <c:spPr>
              <a:solidFill>
                <a:schemeClr val="accent5">
                  <a:lumMod val="20000"/>
                  <a:lumOff val="80000"/>
                </a:schemeClr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SummaryMatrix!$I$127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SummaryMatrix!$J$127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0EE-4802-9039-4A8E9D5DA7B3}"/>
            </c:ext>
          </c:extLst>
        </c:ser>
        <c:ser>
          <c:idx val="5"/>
          <c:order val="5"/>
          <c:tx>
            <c:strRef>
              <c:f>SummaryMatrix!$H$128</c:f>
              <c:strCache>
                <c:ptCount val="1"/>
                <c:pt idx="0">
                  <c:v>Readiness to do 
investments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10EE-4802-9039-4A8E9D5DA7B3}"/>
              </c:ext>
            </c:extLst>
          </c:dPt>
          <c:dLbls>
            <c:dLbl>
              <c:idx val="0"/>
              <c:layout>
                <c:manualLayout>
                  <c:x val="0.107790239466505"/>
                  <c:y val="5.6107782165953642E-2"/>
                </c:manualLayout>
              </c:layout>
              <c:spPr>
                <a:solidFill>
                  <a:srgbClr val="BFAFE7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10EE-4802-9039-4A8E9D5DA7B3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SummaryMatrix!$I$128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SummaryMatrix!$J$128</c:f>
              <c:numCache>
                <c:formatCode>General</c:formatCode>
                <c:ptCount val="1"/>
                <c:pt idx="0">
                  <c:v>2.65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0EE-4802-9039-4A8E9D5DA7B3}"/>
            </c:ext>
          </c:extLst>
        </c:ser>
        <c:ser>
          <c:idx val="6"/>
          <c:order val="6"/>
          <c:tx>
            <c:strRef>
              <c:f>SummaryMatrix!$H$129</c:f>
              <c:strCache>
                <c:ptCount val="1"/>
                <c:pt idx="0">
                  <c:v> Readiness to pay 
migration costs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tx1">
                  <a:lumMod val="85000"/>
                  <a:lumOff val="15000"/>
                </a:schemeClr>
              </a:solidFill>
              <a:ln w="9525">
                <a:solidFill>
                  <a:schemeClr val="bg2">
                    <a:lumMod val="1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3-10EE-4802-9039-4A8E9D5DA7B3}"/>
              </c:ext>
            </c:extLst>
          </c:dPt>
          <c:dLbls>
            <c:dLbl>
              <c:idx val="0"/>
              <c:layout>
                <c:manualLayout>
                  <c:x val="-0.17444332561373821"/>
                  <c:y val="-3.505178141709115E-2"/>
                </c:manualLayout>
              </c:layout>
              <c:spPr>
                <a:solidFill>
                  <a:srgbClr val="BFAFE7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3-10EE-4802-9039-4A8E9D5DA7B3}"/>
                </c:ext>
              </c:extLst>
            </c:dLbl>
            <c:spPr>
              <a:solidFill>
                <a:srgbClr val="BFAFE7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SummaryMatrix!$J$129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0EE-4802-9039-4A8E9D5DA7B3}"/>
            </c:ext>
          </c:extLst>
        </c:ser>
        <c:ser>
          <c:idx val="7"/>
          <c:order val="7"/>
          <c:tx>
            <c:strRef>
              <c:f>SummaryMatrix!$H$130</c:f>
              <c:strCache>
                <c:ptCount val="1"/>
                <c:pt idx="0">
                  <c:v>Economic indicators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Pt>
            <c:idx val="0"/>
            <c:marker>
              <c:symbol val="triangle"/>
              <c:size val="10"/>
              <c:spPr>
                <a:solidFill>
                  <a:schemeClr val="accent1"/>
                </a:solidFill>
                <a:ln w="9525">
                  <a:solidFill>
                    <a:srgbClr val="E7E6E6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E7E6E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6-10EE-4802-9039-4A8E9D5DA7B3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419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6-10EE-4802-9039-4A8E9D5DA7B3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LeaderLines val="0"/>
              </c:ext>
            </c:extLst>
          </c:dLbls>
          <c:xVal>
            <c:numRef>
              <c:f>SummaryMatrix!$I$130</c:f>
              <c:numCache>
                <c:formatCode>General</c:formatCode>
                <c:ptCount val="1"/>
                <c:pt idx="0">
                  <c:v>2</c:v>
                </c:pt>
              </c:numCache>
            </c:numRef>
          </c:xVal>
          <c:yVal>
            <c:numRef>
              <c:f>SummaryMatrix!$J$130</c:f>
              <c:numCache>
                <c:formatCode>General</c:formatCode>
                <c:ptCount val="1"/>
                <c:pt idx="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0EE-4802-9039-4A8E9D5DA7B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59328088"/>
        <c:axId val="859329728"/>
      </c:scatterChart>
      <c:valAx>
        <c:axId val="859328088"/>
        <c:scaling>
          <c:orientation val="maxMin"/>
          <c:max val="3"/>
          <c:min val="1"/>
        </c:scaling>
        <c:delete val="0"/>
        <c:axPos val="b"/>
        <c:majorGridlines>
          <c:spPr>
            <a:ln w="9525" cap="flat" cmpd="dbl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9728"/>
        <c:crossesAt val="3"/>
        <c:crossBetween val="midCat"/>
        <c:majorUnit val="1"/>
      </c:valAx>
      <c:valAx>
        <c:axId val="859329728"/>
        <c:scaling>
          <c:orientation val="minMax"/>
          <c:max val="3"/>
          <c:min val="0"/>
        </c:scaling>
        <c:delete val="0"/>
        <c:axPos val="r"/>
        <c:majorGridlines>
          <c:spPr>
            <a:ln w="12700" cap="flat" cmpd="sng" algn="ctr">
              <a:gradFill>
                <a:gsLst>
                  <a:gs pos="74200">
                    <a:srgbClr val="D47C28"/>
                  </a:gs>
                  <a:gs pos="31000">
                    <a:schemeClr val="accent4">
                      <a:lumMod val="60000"/>
                      <a:lumOff val="40000"/>
                    </a:schemeClr>
                  </a:gs>
                  <a:gs pos="0">
                    <a:srgbClr val="F4FB9D"/>
                  </a:gs>
                  <a:gs pos="100000">
                    <a:schemeClr val="accent2">
                      <a:lumMod val="75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title>
          <c:tx>
            <c:rich>
              <a:bodyPr rot="5400000" spcFirstLastPara="1" vertOverflow="ellipsis" wrap="square" anchor="t" anchorCtr="0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100" b="1"/>
                  <a:t>Weaknesses</a:t>
                </a:r>
              </a:p>
            </c:rich>
          </c:tx>
          <c:layout>
            <c:manualLayout>
              <c:xMode val="edge"/>
              <c:yMode val="edge"/>
              <c:x val="0.94404623273317101"/>
              <c:y val="0.3645385267377472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59328088"/>
        <c:crossesAt val="0"/>
        <c:crossBetween val="midCat"/>
        <c:majorUnit val="0.2"/>
      </c:valAx>
      <c:spPr>
        <a:gradFill flip="none" rotWithShape="1">
          <a:gsLst>
            <a:gs pos="50000">
              <a:schemeClr val="accent2">
                <a:lumMod val="63000"/>
                <a:lumOff val="37000"/>
              </a:schemeClr>
            </a:gs>
            <a:gs pos="100000">
              <a:schemeClr val="accent4">
                <a:lumMod val="20000"/>
                <a:lumOff val="80000"/>
              </a:schemeClr>
            </a:gs>
            <a:gs pos="25000">
              <a:srgbClr val="FA533D"/>
            </a:gs>
            <a:gs pos="75000">
              <a:schemeClr val="accent4">
                <a:lumMod val="40000"/>
                <a:lumOff val="60000"/>
              </a:schemeClr>
            </a:gs>
            <a:gs pos="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050"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v>Very important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SummaryMatrix!$D$290:$D$297</c:f>
            </c:multiLvlStrRef>
          </c:cat>
          <c:val>
            <c:numRef>
              <c:f>SummaryMatrix!$E$295:$E$297</c:f>
            </c:numRef>
          </c:val>
          <c:extLst>
            <c:ext xmlns:c16="http://schemas.microsoft.com/office/drawing/2014/chart" uri="{C3380CC4-5D6E-409C-BE32-E72D297353CC}">
              <c16:uniqueId val="{00000000-EC4A-44CF-AE1D-4FC3DB94C3A9}"/>
            </c:ext>
          </c:extLst>
        </c:ser>
        <c:ser>
          <c:idx val="1"/>
          <c:order val="1"/>
          <c:tx>
            <c:v>Important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SummaryMatrix!$D$290:$D$297</c:f>
            </c:multiLvlStrRef>
          </c:cat>
          <c:val>
            <c:numRef>
              <c:f>SummaryMatrix!$E$291:$E$294</c:f>
            </c:numRef>
          </c:val>
          <c:extLst>
            <c:ext xmlns:c16="http://schemas.microsoft.com/office/drawing/2014/chart" uri="{C3380CC4-5D6E-409C-BE32-E72D297353CC}">
              <c16:uniqueId val="{00000001-EC4A-44CF-AE1D-4FC3DB94C3A9}"/>
            </c:ext>
          </c:extLst>
        </c:ser>
        <c:ser>
          <c:idx val="2"/>
          <c:order val="2"/>
          <c:tx>
            <c:v>Desirable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SummaryMatrix!$D$290:$D$297</c:f>
            </c:multiLvlStrRef>
          </c:cat>
          <c:val>
            <c:numRef>
              <c:f>SummaryMatrix!$E$290</c:f>
            </c:numRef>
          </c:val>
          <c:extLst>
            <c:ext xmlns:c16="http://schemas.microsoft.com/office/drawing/2014/chart" uri="{C3380CC4-5D6E-409C-BE32-E72D297353CC}">
              <c16:uniqueId val="{00000002-EC4A-44CF-AE1D-4FC3DB94C3A9}"/>
            </c:ext>
          </c:extLst>
        </c:ser>
        <c:ser>
          <c:idx val="3"/>
          <c:order val="3"/>
          <c:tx>
            <c:v>All criteria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SummaryMatrix!$D$290:$D$297</c:f>
            </c:multiLvlStrRef>
          </c:cat>
          <c:val>
            <c:numRef>
              <c:f>SummaryMatrix!$B$290:$B$296</c:f>
            </c:numRef>
          </c:val>
          <c:extLst>
            <c:ext xmlns:c16="http://schemas.microsoft.com/office/drawing/2014/chart" uri="{C3380CC4-5D6E-409C-BE32-E72D297353CC}">
              <c16:uniqueId val="{00000003-EC4A-44CF-AE1D-4FC3DB94C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663120"/>
        <c:axId val="866669680"/>
      </c:radarChart>
      <c:catAx>
        <c:axId val="86666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6669680"/>
        <c:crosses val="autoZero"/>
        <c:auto val="1"/>
        <c:lblAlgn val="ctr"/>
        <c:lblOffset val="100"/>
        <c:noMultiLvlLbl val="0"/>
      </c:catAx>
      <c:valAx>
        <c:axId val="86666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666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line feasibility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0.23041194775267612"/>
          <c:y val="0.17783329959876282"/>
          <c:w val="0.50616219255711425"/>
          <c:h val="0.80785735472216536"/>
        </c:manualLayout>
      </c:layout>
      <c:radarChart>
        <c:radarStyle val="marker"/>
        <c:varyColors val="0"/>
        <c:ser>
          <c:idx val="0"/>
          <c:order val="0"/>
          <c:tx>
            <c:v>Enterprise</c:v>
          </c:tx>
          <c:spPr>
            <a:ln w="25400" cap="rnd" cmpd="sng" algn="ctr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8.0888475294414938E-2"/>
                  <c:y val="7.45275073400791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D7-440A-850A-EA2797015E00}"/>
                </c:ext>
              </c:extLst>
            </c:dLbl>
            <c:dLbl>
              <c:idx val="1"/>
              <c:layout>
                <c:manualLayout>
                  <c:x val="5.902672521484334E-2"/>
                  <c:y val="-6.856530675287289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D7-440A-850A-EA2797015E0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multiLvlStrRef>
              <c:f>(SummaryMatrix!$A$290,SummaryMatrix!$A$300,SummaryMatrix!$A$312)</c:f>
            </c:multiLvlStrRef>
          </c:cat>
          <c:val>
            <c:numRef>
              <c:f>(SummaryMatrix!$J$290,SummaryMatrix!$J$300,SummaryMatrix!$J$310)</c:f>
            </c:numRef>
          </c:val>
          <c:extLst>
            <c:ext xmlns:c16="http://schemas.microsoft.com/office/drawing/2014/chart" uri="{C3380CC4-5D6E-409C-BE32-E72D297353CC}">
              <c16:uniqueId val="{00000001-75D7-440A-850A-EA2797015E00}"/>
            </c:ext>
          </c:extLst>
        </c:ser>
        <c:ser>
          <c:idx val="1"/>
          <c:order val="1"/>
          <c:tx>
            <c:v>Reference values</c:v>
          </c:tx>
          <c:spPr>
            <a:ln w="25400" cap="rnd" cmpd="sng" algn="ctr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9.6191700350115067E-2"/>
                  <c:y val="3.875430381684119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D7-440A-850A-EA2797015E00}"/>
                </c:ext>
              </c:extLst>
            </c:dLbl>
            <c:dLbl>
              <c:idx val="2"/>
              <c:layout>
                <c:manualLayout>
                  <c:x val="-3.935115014322893E-2"/>
                  <c:y val="-7.45275073400792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D7-440A-850A-EA2797015E0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val>
            <c:numRef>
              <c:f>(SummaryMatrix!$K$290,SummaryMatrix!$K$300,SummaryMatrix!$K$310)</c:f>
            </c:numRef>
          </c:val>
          <c:extLst>
            <c:ext xmlns:c16="http://schemas.microsoft.com/office/drawing/2014/chart" uri="{C3380CC4-5D6E-409C-BE32-E72D297353CC}">
              <c16:uniqueId val="{00000002-75D7-440A-850A-EA2797015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1487328"/>
        <c:axId val="861491592"/>
      </c:radarChart>
      <c:catAx>
        <c:axId val="86148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491592"/>
        <c:crosses val="autoZero"/>
        <c:auto val="1"/>
        <c:lblAlgn val="ctr"/>
        <c:lblOffset val="100"/>
        <c:noMultiLvlLbl val="0"/>
      </c:catAx>
      <c:valAx>
        <c:axId val="861491592"/>
        <c:scaling>
          <c:orientation val="minMax"/>
          <c:max val="5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487328"/>
        <c:crosses val="autoZero"/>
        <c:crossBetween val="between"/>
        <c:majorUnit val="0.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s-419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Operational dimension - scores overview. Score by criteria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419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>
        <c:manualLayout>
          <c:layoutTarget val="inner"/>
          <c:xMode val="edge"/>
          <c:yMode val="edge"/>
          <c:x val="9.8848543309476747E-2"/>
          <c:y val="9.809982529683979E-2"/>
          <c:w val="0.87923642833040583"/>
          <c:h val="0.496942916964877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E607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419" sz="1000" b="0" i="0" u="none" strike="noStrike" kern="1200" baseline="0">
                    <a:solidFill>
                      <a:schemeClr val="bg2">
                        <a:lumMod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SummaryMatrix!$A$350:$K$351</c:f>
              <c:multiLvlStrCache>
                <c:ptCount val="11"/>
                <c:lvl>
                  <c:pt idx="0">
                    <c:v> Process discipline</c:v>
                  </c:pt>
                  <c:pt idx="1">
                    <c:v> Customers conexión</c:v>
                  </c:pt>
                  <c:pt idx="2">
                    <c:v>Degree of control over 
product specification</c:v>
                  </c:pt>
                  <c:pt idx="3">
                    <c:v>Commitment of 
key actors</c:v>
                  </c:pt>
                  <c:pt idx="4">
                    <c:v>Domain knowledge</c:v>
                  </c:pt>
                  <c:pt idx="5">
                    <c:v>Market 
potential</c:v>
                  </c:pt>
                  <c:pt idx="6">
                    <c:v>Attitude for change</c:v>
                  </c:pt>
                  <c:pt idx="7">
                    <c:v>Product line awareness
</c:v>
                  </c:pt>
                  <c:pt idx="8">
                    <c:v>Potential products</c:v>
                  </c:pt>
                  <c:pt idx="9">
                    <c:v>Organizational 
preparation</c:v>
                  </c:pt>
                  <c:pt idx="10">
                    <c:v>Commitment of 
key actors</c:v>
                  </c:pt>
                </c:lvl>
                <c:lvl>
                  <c:pt idx="0">
                    <c:v>Desirable</c:v>
                  </c:pt>
                  <c:pt idx="2">
                    <c:v>Important</c:v>
                  </c:pt>
                  <c:pt idx="9">
                    <c:v>Very important</c:v>
                  </c:pt>
                </c:lvl>
              </c:multiLvlStrCache>
            </c:multiLvlStrRef>
          </c:cat>
          <c:val>
            <c:numRef>
              <c:f>SummaryMatrix!$A$352:$K$352</c:f>
              <c:numCache>
                <c:formatCode>General</c:formatCode>
                <c:ptCount val="11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4.8</c:v>
                </c:pt>
                <c:pt idx="4">
                  <c:v>2.5</c:v>
                </c:pt>
                <c:pt idx="5">
                  <c:v>3.9</c:v>
                </c:pt>
                <c:pt idx="6">
                  <c:v>0.5</c:v>
                </c:pt>
                <c:pt idx="7">
                  <c:v>2.8</c:v>
                </c:pt>
                <c:pt idx="8">
                  <c:v>1</c:v>
                </c:pt>
                <c:pt idx="9">
                  <c:v>1.6</c:v>
                </c:pt>
                <c:pt idx="10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6-443B-818B-9A193048AE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1583904"/>
        <c:axId val="861581280"/>
      </c:barChart>
      <c:catAx>
        <c:axId val="86158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s-419"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600" b="1"/>
                  <a:t>(x) Criteria</a:t>
                </a:r>
              </a:p>
            </c:rich>
          </c:tx>
          <c:layout>
            <c:manualLayout>
              <c:xMode val="edge"/>
              <c:yMode val="edge"/>
              <c:x val="0.41592684490575987"/>
              <c:y val="0.936402048427893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s-419"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419"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581280"/>
        <c:crosses val="autoZero"/>
        <c:auto val="1"/>
        <c:lblAlgn val="ctr"/>
        <c:lblOffset val="100"/>
        <c:noMultiLvlLbl val="0"/>
      </c:catAx>
      <c:valAx>
        <c:axId val="861581280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419"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 sz="1600" b="1"/>
                  <a:t>(y) Score</a:t>
                </a:r>
              </a:p>
            </c:rich>
          </c:tx>
          <c:layout>
            <c:manualLayout>
              <c:xMode val="edge"/>
              <c:yMode val="edge"/>
              <c:x val="5.9768259163956571E-3"/>
              <c:y val="0.305816992882957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419"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419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583904"/>
        <c:crosses val="autoZero"/>
        <c:crossBetween val="between"/>
      </c:valAx>
      <c:spPr>
        <a:gradFill flip="none" rotWithShape="1">
          <a:gsLst>
            <a:gs pos="2000">
              <a:schemeClr val="accent4">
                <a:lumMod val="20000"/>
                <a:lumOff val="80000"/>
              </a:schemeClr>
            </a:gs>
            <a:gs pos="79000">
              <a:srgbClr val="C8D3E3"/>
            </a:gs>
            <a:gs pos="35000">
              <a:srgbClr val="DDE5FF"/>
            </a:gs>
            <a:gs pos="10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s-419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/>
              <a:t>Technical facet - scores</a:t>
            </a:r>
            <a:r>
              <a:rPr lang="es-419" baseline="0"/>
              <a:t> overview</a:t>
            </a:r>
            <a:endParaRPr lang="es-419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SummaryMatrix!$D$342:$H$343</c:f>
              <c:multiLvlStrCache>
                <c:ptCount val="4"/>
                <c:lvl>
                  <c:pt idx="0">
                    <c:v>Reuse aptitute</c:v>
                  </c:pt>
                  <c:pt idx="1">
                    <c:v>Software engineering 
capability</c:v>
                  </c:pt>
                  <c:pt idx="2">
                    <c:v>Commonality and 
variability</c:v>
                  </c:pt>
                  <c:pt idx="3">
                    <c:v>Reuse potential</c:v>
                  </c:pt>
                </c:lvl>
                <c:lvl>
                  <c:pt idx="0">
                    <c:v>Desirable</c:v>
                  </c:pt>
                  <c:pt idx="1">
                    <c:v>Important</c:v>
                  </c:pt>
                  <c:pt idx="3">
                    <c:v>Very important</c:v>
                  </c:pt>
                </c:lvl>
              </c:multiLvlStrCache>
            </c:multiLvlStrRef>
          </c:cat>
          <c:val>
            <c:numRef>
              <c:f>SummaryMatrix!$D$344:$F$344</c:f>
              <c:numCache>
                <c:formatCode>General</c:formatCode>
                <c:ptCount val="3"/>
                <c:pt idx="0">
                  <c:v>4.7</c:v>
                </c:pt>
                <c:pt idx="1">
                  <c:v>3.5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CF-4D55-9D2F-A4F541C18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1583904"/>
        <c:axId val="861581280"/>
      </c:barChart>
      <c:catAx>
        <c:axId val="861583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581280"/>
        <c:crosses val="autoZero"/>
        <c:auto val="1"/>
        <c:lblAlgn val="ctr"/>
        <c:lblOffset val="100"/>
        <c:noMultiLvlLbl val="0"/>
      </c:catAx>
      <c:valAx>
        <c:axId val="861581280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583904"/>
        <c:crosses val="autoZero"/>
        <c:crossBetween val="between"/>
      </c:valAx>
      <c:spPr>
        <a:gradFill flip="none" rotWithShape="1">
          <a:gsLst>
            <a:gs pos="2000">
              <a:schemeClr val="accent4">
                <a:lumMod val="20000"/>
                <a:lumOff val="80000"/>
              </a:schemeClr>
            </a:gs>
            <a:gs pos="69000">
              <a:srgbClr val="C8D3E3"/>
            </a:gs>
            <a:gs pos="36000">
              <a:srgbClr val="F8EFD7"/>
            </a:gs>
            <a:gs pos="52000">
              <a:srgbClr val="DDE5FF"/>
            </a:gs>
            <a:gs pos="100000">
              <a:schemeClr val="accent6">
                <a:lumMod val="50000"/>
              </a:schemeClr>
            </a:gs>
          </a:gsLst>
          <a:lin ang="0" scaled="1"/>
          <a:tileRect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419" b="1"/>
              <a:t>Economic facet - scores</a:t>
            </a:r>
            <a:r>
              <a:rPr lang="es-419" b="1" baseline="0"/>
              <a:t> overview</a:t>
            </a:r>
            <a:endParaRPr lang="es-419" b="1"/>
          </a:p>
        </c:rich>
      </c:tx>
      <c:layout>
        <c:manualLayout>
          <c:xMode val="edge"/>
          <c:yMode val="edge"/>
          <c:x val="0.30170406012209361"/>
          <c:y val="2.22658773676122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419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E607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419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SummaryMatrix!$D$337:$G$338</c:f>
              <c:multiLvlStrCache>
                <c:ptCount val="3"/>
                <c:lvl>
                  <c:pt idx="0">
                    <c:v>Economic indicators</c:v>
                  </c:pt>
                  <c:pt idx="1">
                    <c:v> Readiness to pay 
migration costs</c:v>
                  </c:pt>
                  <c:pt idx="2">
                    <c:v>Readiness to do 
investments</c:v>
                  </c:pt>
                </c:lvl>
                <c:lvl>
                  <c:pt idx="0">
                    <c:v>Important</c:v>
                  </c:pt>
                  <c:pt idx="2">
                    <c:v>Very important</c:v>
                  </c:pt>
                </c:lvl>
              </c:multiLvlStrCache>
            </c:multiLvlStrRef>
          </c:cat>
          <c:val>
            <c:numRef>
              <c:f>SummaryMatrix!$D$339:$F$339</c:f>
              <c:numCache>
                <c:formatCode>General</c:formatCode>
                <c:ptCount val="3"/>
                <c:pt idx="0">
                  <c:v>1.9</c:v>
                </c:pt>
                <c:pt idx="1">
                  <c:v>2</c:v>
                </c:pt>
                <c:pt idx="2">
                  <c:v>2.65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E7-42DE-A794-D66D68D6C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1583904"/>
        <c:axId val="861581280"/>
      </c:barChart>
      <c:catAx>
        <c:axId val="861583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Criteria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581280"/>
        <c:crosses val="autoZero"/>
        <c:auto val="1"/>
        <c:lblAlgn val="ctr"/>
        <c:lblOffset val="100"/>
        <c:noMultiLvlLbl val="0"/>
      </c:catAx>
      <c:valAx>
        <c:axId val="861581280"/>
        <c:scaling>
          <c:orientation val="minMax"/>
          <c:max val="5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419"/>
                  <a:t>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419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419"/>
          </a:p>
        </c:txPr>
        <c:crossAx val="861583904"/>
        <c:crosses val="autoZero"/>
        <c:crossBetween val="between"/>
      </c:valAx>
      <c:spPr>
        <a:gradFill flip="none" rotWithShape="1">
          <a:gsLst>
            <a:gs pos="2000">
              <a:schemeClr val="accent4">
                <a:lumMod val="20000"/>
                <a:lumOff val="80000"/>
              </a:schemeClr>
            </a:gs>
            <a:gs pos="70000">
              <a:srgbClr val="E0E1D9"/>
            </a:gs>
            <a:gs pos="85000">
              <a:srgbClr val="C8D3E3"/>
            </a:gs>
            <a:gs pos="55000">
              <a:schemeClr val="accent4">
                <a:lumMod val="20000"/>
                <a:lumOff val="80000"/>
              </a:schemeClr>
            </a:gs>
            <a:gs pos="10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419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5400" cap="rnd" cmpd="sng" algn="ctr">
        <a:solidFill>
          <a:schemeClr val="phClr"/>
        </a:solidFill>
        <a:prstDash val="sysDot"/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26" Type="http://schemas.openxmlformats.org/officeDocument/2006/relationships/chart" Target="../charts/chart34.xml"/><Relationship Id="rId3" Type="http://schemas.openxmlformats.org/officeDocument/2006/relationships/chart" Target="../charts/chart11.xml"/><Relationship Id="rId21" Type="http://schemas.openxmlformats.org/officeDocument/2006/relationships/chart" Target="../charts/chart29.xml"/><Relationship Id="rId34" Type="http://schemas.openxmlformats.org/officeDocument/2006/relationships/chart" Target="../charts/chart42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25" Type="http://schemas.openxmlformats.org/officeDocument/2006/relationships/chart" Target="../charts/chart33.xml"/><Relationship Id="rId33" Type="http://schemas.openxmlformats.org/officeDocument/2006/relationships/chart" Target="../charts/chart41.xml"/><Relationship Id="rId2" Type="http://schemas.openxmlformats.org/officeDocument/2006/relationships/chart" Target="../charts/chart10.xml"/><Relationship Id="rId16" Type="http://schemas.openxmlformats.org/officeDocument/2006/relationships/chart" Target="../charts/chart24.xml"/><Relationship Id="rId20" Type="http://schemas.openxmlformats.org/officeDocument/2006/relationships/chart" Target="../charts/chart28.xml"/><Relationship Id="rId29" Type="http://schemas.openxmlformats.org/officeDocument/2006/relationships/chart" Target="../charts/chart37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24" Type="http://schemas.openxmlformats.org/officeDocument/2006/relationships/chart" Target="../charts/chart32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" Type="http://schemas.openxmlformats.org/officeDocument/2006/relationships/chart" Target="../charts/chart13.xml"/><Relationship Id="rId15" Type="http://schemas.openxmlformats.org/officeDocument/2006/relationships/chart" Target="../charts/chart23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36" Type="http://schemas.openxmlformats.org/officeDocument/2006/relationships/chart" Target="../charts/chart44.xml"/><Relationship Id="rId10" Type="http://schemas.openxmlformats.org/officeDocument/2006/relationships/chart" Target="../charts/chart18.xml"/><Relationship Id="rId19" Type="http://schemas.openxmlformats.org/officeDocument/2006/relationships/chart" Target="../charts/chart27.xml"/><Relationship Id="rId31" Type="http://schemas.openxmlformats.org/officeDocument/2006/relationships/chart" Target="../charts/chart39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759565</xdr:colOff>
      <xdr:row>2</xdr:row>
      <xdr:rowOff>307747</xdr:rowOff>
    </xdr:from>
    <xdr:to>
      <xdr:col>8</xdr:col>
      <xdr:colOff>900662</xdr:colOff>
      <xdr:row>2</xdr:row>
      <xdr:rowOff>443582</xdr:rowOff>
    </xdr:to>
    <xdr:sp macro="" textlink="">
      <xdr:nvSpPr>
        <xdr:cNvPr id="2" name="Flecha: hacia abaj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331565" y="730160"/>
          <a:ext cx="14109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5</xdr:col>
      <xdr:colOff>3652290</xdr:colOff>
      <xdr:row>0</xdr:row>
      <xdr:rowOff>65822</xdr:rowOff>
    </xdr:from>
    <xdr:to>
      <xdr:col>5</xdr:col>
      <xdr:colOff>3788125</xdr:colOff>
      <xdr:row>0</xdr:row>
      <xdr:rowOff>215689</xdr:rowOff>
    </xdr:to>
    <xdr:sp macro="" textlink="">
      <xdr:nvSpPr>
        <xdr:cNvPr id="3" name="Flecha: hacia abaj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3645274" y="72838"/>
          <a:ext cx="149867" cy="135835"/>
        </a:xfrm>
        <a:prstGeom prst="downArrow">
          <a:avLst/>
        </a:prstGeom>
        <a:solidFill>
          <a:srgbClr val="FF0000"/>
        </a:solidFill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666750</xdr:colOff>
          <xdr:row>0</xdr:row>
          <xdr:rowOff>0</xdr:rowOff>
        </xdr:from>
        <xdr:to>
          <xdr:col>21</xdr:col>
          <xdr:colOff>628650</xdr:colOff>
          <xdr:row>0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841075</xdr:colOff>
      <xdr:row>2</xdr:row>
      <xdr:rowOff>317565</xdr:rowOff>
    </xdr:from>
    <xdr:to>
      <xdr:col>16</xdr:col>
      <xdr:colOff>990942</xdr:colOff>
      <xdr:row>2</xdr:row>
      <xdr:rowOff>453400</xdr:rowOff>
    </xdr:to>
    <xdr:sp macro="" textlink="">
      <xdr:nvSpPr>
        <xdr:cNvPr id="16" name="Flecha: hacia abaj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739046" y="732183"/>
          <a:ext cx="14986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16</xdr:col>
      <xdr:colOff>897105</xdr:colOff>
      <xdr:row>14</xdr:row>
      <xdr:rowOff>138270</xdr:rowOff>
    </xdr:from>
    <xdr:to>
      <xdr:col>16</xdr:col>
      <xdr:colOff>1046972</xdr:colOff>
      <xdr:row>14</xdr:row>
      <xdr:rowOff>274105</xdr:rowOff>
    </xdr:to>
    <xdr:sp macro="" textlink="">
      <xdr:nvSpPr>
        <xdr:cNvPr id="17" name="Flecha: hacia abaj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2583866" y="7054248"/>
          <a:ext cx="14986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8</xdr:col>
      <xdr:colOff>816715</xdr:colOff>
      <xdr:row>7</xdr:row>
      <xdr:rowOff>166528</xdr:rowOff>
    </xdr:from>
    <xdr:to>
      <xdr:col>8</xdr:col>
      <xdr:colOff>957812</xdr:colOff>
      <xdr:row>7</xdr:row>
      <xdr:rowOff>302363</xdr:rowOff>
    </xdr:to>
    <xdr:sp macro="" textlink="">
      <xdr:nvSpPr>
        <xdr:cNvPr id="18" name="Flecha: hacia abaj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6245965" y="982957"/>
          <a:ext cx="14109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18</xdr:col>
      <xdr:colOff>253661</xdr:colOff>
      <xdr:row>2</xdr:row>
      <xdr:rowOff>508002</xdr:rowOff>
    </xdr:from>
    <xdr:to>
      <xdr:col>25</xdr:col>
      <xdr:colOff>425823</xdr:colOff>
      <xdr:row>6</xdr:row>
      <xdr:rowOff>358589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27215</xdr:colOff>
      <xdr:row>7</xdr:row>
      <xdr:rowOff>495462</xdr:rowOff>
    </xdr:from>
    <xdr:to>
      <xdr:col>25</xdr:col>
      <xdr:colOff>734786</xdr:colOff>
      <xdr:row>12</xdr:row>
      <xdr:rowOff>683560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673474</xdr:colOff>
      <xdr:row>3</xdr:row>
      <xdr:rowOff>129988</xdr:rowOff>
    </xdr:from>
    <xdr:to>
      <xdr:col>3</xdr:col>
      <xdr:colOff>823341</xdr:colOff>
      <xdr:row>3</xdr:row>
      <xdr:rowOff>265823</xdr:rowOff>
    </xdr:to>
    <xdr:sp macro="" textlink="">
      <xdr:nvSpPr>
        <xdr:cNvPr id="2" name="Flecha: hacia abaj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788274" y="377638"/>
          <a:ext cx="149867" cy="135835"/>
        </a:xfrm>
        <a:prstGeom prst="downArrow">
          <a:avLst/>
        </a:prstGeom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1</xdr:col>
      <xdr:colOff>3652290</xdr:colOff>
      <xdr:row>0</xdr:row>
      <xdr:rowOff>65822</xdr:rowOff>
    </xdr:from>
    <xdr:to>
      <xdr:col>1</xdr:col>
      <xdr:colOff>3788125</xdr:colOff>
      <xdr:row>0</xdr:row>
      <xdr:rowOff>215689</xdr:rowOff>
    </xdr:to>
    <xdr:sp macro="" textlink="">
      <xdr:nvSpPr>
        <xdr:cNvPr id="4" name="Flecha: hacia abaj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16200000">
          <a:off x="3645274" y="72838"/>
          <a:ext cx="149867" cy="135835"/>
        </a:xfrm>
        <a:prstGeom prst="downArrow">
          <a:avLst/>
        </a:prstGeom>
        <a:solidFill>
          <a:srgbClr val="FF0000"/>
        </a:solidFill>
        <a:ln>
          <a:solidFill>
            <a:srgbClr val="0EA4B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419" sz="1100"/>
        </a:p>
      </xdr:txBody>
    </xdr:sp>
    <xdr:clientData/>
  </xdr:twoCellAnchor>
  <xdr:twoCellAnchor>
    <xdr:from>
      <xdr:col>5</xdr:col>
      <xdr:colOff>4965</xdr:colOff>
      <xdr:row>3</xdr:row>
      <xdr:rowOff>367862</xdr:rowOff>
    </xdr:from>
    <xdr:to>
      <xdr:col>9</xdr:col>
      <xdr:colOff>571500</xdr:colOff>
      <xdr:row>7</xdr:row>
      <xdr:rowOff>341586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485775</xdr:colOff>
          <xdr:row>1</xdr:row>
          <xdr:rowOff>161925</xdr:rowOff>
        </xdr:from>
        <xdr:to>
          <xdr:col>7</xdr:col>
          <xdr:colOff>447675</xdr:colOff>
          <xdr:row>2</xdr:row>
          <xdr:rowOff>190500</xdr:rowOff>
        </xdr:to>
        <xdr:sp macro="" textlink="">
          <xdr:nvSpPr>
            <xdr:cNvPr id="1033" name="Botó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695325</xdr:colOff>
      <xdr:row>11</xdr:row>
      <xdr:rowOff>57150</xdr:rowOff>
    </xdr:from>
    <xdr:to>
      <xdr:col>11</xdr:col>
      <xdr:colOff>747510</xdr:colOff>
      <xdr:row>17</xdr:row>
      <xdr:rowOff>259474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152079</xdr:rowOff>
    </xdr:from>
    <xdr:to>
      <xdr:col>14</xdr:col>
      <xdr:colOff>294407</xdr:colOff>
      <xdr:row>52</xdr:row>
      <xdr:rowOff>165689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0" y="342579"/>
          <a:ext cx="11187543" cy="10092792"/>
          <a:chOff x="4998066" y="251520"/>
          <a:chExt cx="10865308" cy="9409780"/>
        </a:xfrm>
      </xdr:grpSpPr>
      <xdr:grpSp>
        <xdr:nvGrpSpPr>
          <xdr:cNvPr id="2" name="Grupo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GrpSpPr/>
        </xdr:nvGrpSpPr>
        <xdr:grpSpPr>
          <a:xfrm>
            <a:off x="4998066" y="251520"/>
            <a:ext cx="10865308" cy="9409780"/>
            <a:chOff x="16448615" y="22313878"/>
            <a:chExt cx="10886230" cy="8110083"/>
          </a:xfrm>
        </xdr:grpSpPr>
        <xdr:graphicFrame macro="">
          <xdr:nvGraphicFramePr>
            <xdr:cNvPr id="6" name="Gráfico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>
              <a:graphicFrameLocks/>
            </xdr:cNvGraphicFramePr>
          </xdr:nvGraphicFramePr>
          <xdr:xfrm>
            <a:off x="21798806" y="26239436"/>
            <a:ext cx="5210018" cy="411894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3" name="Gráfico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>
              <a:graphicFrameLocks/>
            </xdr:cNvGraphicFramePr>
          </xdr:nvGraphicFramePr>
          <xdr:xfrm>
            <a:off x="16448615" y="22313878"/>
            <a:ext cx="5055856" cy="41302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4" name="Gráfico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>
              <a:graphicFrameLocks/>
            </xdr:cNvGraphicFramePr>
          </xdr:nvGraphicFramePr>
          <xdr:xfrm>
            <a:off x="16526336" y="26244298"/>
            <a:ext cx="4901338" cy="417966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graphicFrame macro="">
          <xdr:nvGraphicFramePr>
            <xdr:cNvPr id="5" name="Gráfico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>
              <a:graphicFrameLocks/>
            </xdr:cNvGraphicFramePr>
          </xdr:nvGraphicFramePr>
          <xdr:xfrm>
            <a:off x="21757227" y="22369662"/>
            <a:ext cx="5577618" cy="41689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pSpPr/>
        </xdr:nvGrpSpPr>
        <xdr:grpSpPr>
          <a:xfrm>
            <a:off x="5773410" y="740896"/>
            <a:ext cx="4208393" cy="245181"/>
            <a:chOff x="5758842" y="740896"/>
            <a:chExt cx="4208393" cy="245181"/>
          </a:xfrm>
        </xdr:grpSpPr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SpPr txBox="1"/>
          </xdr:nvSpPr>
          <xdr:spPr>
            <a:xfrm>
              <a:off x="5758842" y="742711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Desirable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SpPr txBox="1"/>
          </xdr:nvSpPr>
          <xdr:spPr>
            <a:xfrm>
              <a:off x="7502523" y="740896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SpPr txBox="1"/>
          </xdr:nvSpPr>
          <xdr:spPr>
            <a:xfrm>
              <a:off x="9005209" y="752872"/>
              <a:ext cx="962026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Very 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2" name="Grup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pSpPr/>
        </xdr:nvGrpSpPr>
        <xdr:grpSpPr>
          <a:xfrm>
            <a:off x="5648569" y="9043502"/>
            <a:ext cx="4094390" cy="242722"/>
            <a:chOff x="5642405" y="2007588"/>
            <a:chExt cx="4094390" cy="242722"/>
          </a:xfrm>
        </xdr:grpSpPr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5642405" y="2017105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Desirable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7337856" y="2007588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SpPr txBox="1"/>
          </xdr:nvSpPr>
          <xdr:spPr>
            <a:xfrm>
              <a:off x="8774769" y="2007589"/>
              <a:ext cx="962026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Very 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6" name="Grupo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GrpSpPr/>
        </xdr:nvGrpSpPr>
        <xdr:grpSpPr>
          <a:xfrm flipH="1">
            <a:off x="10333708" y="768476"/>
            <a:ext cx="4359119" cy="241785"/>
            <a:chOff x="5008476" y="750547"/>
            <a:chExt cx="4359119" cy="241785"/>
          </a:xfrm>
        </xdr:grpSpPr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 txBox="1"/>
          </xdr:nvSpPr>
          <xdr:spPr>
            <a:xfrm>
              <a:off x="5008476" y="759127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Desirable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 txBox="1"/>
          </xdr:nvSpPr>
          <xdr:spPr>
            <a:xfrm>
              <a:off x="6859004" y="758005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SpPr txBox="1"/>
          </xdr:nvSpPr>
          <xdr:spPr>
            <a:xfrm>
              <a:off x="8405569" y="750547"/>
              <a:ext cx="962026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Very 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</xdr:grpSp>
      <xdr:grpSp>
        <xdr:nvGrpSpPr>
          <xdr:cNvPr id="20" name="Grupo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pSpPr/>
        </xdr:nvGrpSpPr>
        <xdr:grpSpPr>
          <a:xfrm flipH="1">
            <a:off x="10226795" y="9096237"/>
            <a:ext cx="4312650" cy="249761"/>
            <a:chOff x="5157376" y="2056702"/>
            <a:chExt cx="4312650" cy="249761"/>
          </a:xfrm>
        </xdr:grpSpPr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0000000-0008-0000-0300-000015000000}"/>
                </a:ext>
              </a:extLst>
            </xdr:cNvPr>
            <xdr:cNvSpPr txBox="1"/>
          </xdr:nvSpPr>
          <xdr:spPr>
            <a:xfrm>
              <a:off x="5157376" y="2071578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Desirable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 txBox="1"/>
          </xdr:nvSpPr>
          <xdr:spPr>
            <a:xfrm>
              <a:off x="6948308" y="2073258"/>
              <a:ext cx="703490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0" i="0" baseline="0">
                  <a:solidFill>
                    <a:schemeClr val="bg2">
                      <a:lumMod val="1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 txBox="1"/>
          </xdr:nvSpPr>
          <xdr:spPr>
            <a:xfrm>
              <a:off x="8508000" y="2056702"/>
              <a:ext cx="962026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 marL="0" marR="0" lvl="0" indent="0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419" sz="900" b="1" i="0" baseline="0">
                  <a:solidFill>
                    <a:schemeClr val="bg2">
                      <a:lumMod val="5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Very important</a:t>
              </a:r>
              <a:endParaRPr lang="es-419" sz="900" b="1">
                <a:solidFill>
                  <a:schemeClr val="bg2">
                    <a:lumMod val="50000"/>
                  </a:schemeClr>
                </a:solidFill>
                <a:effectLst/>
              </a:endParaRPr>
            </a:p>
          </xdr:txBody>
        </xdr:sp>
      </xdr:grpSp>
    </xdr:grpSp>
    <xdr:clientData/>
  </xdr:twoCellAnchor>
  <xdr:oneCellAnchor>
    <xdr:from>
      <xdr:col>3</xdr:col>
      <xdr:colOff>329046</xdr:colOff>
      <xdr:row>0</xdr:row>
      <xdr:rowOff>138545</xdr:rowOff>
    </xdr:from>
    <xdr:ext cx="184731" cy="264560"/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8364682" y="32904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419" sz="1100"/>
        </a:p>
      </xdr:txBody>
    </xdr:sp>
    <xdr:clientData/>
  </xdr:oneCellAnchor>
  <xdr:oneCellAnchor>
    <xdr:from>
      <xdr:col>1</xdr:col>
      <xdr:colOff>260946</xdr:colOff>
      <xdr:row>40</xdr:row>
      <xdr:rowOff>126344</xdr:rowOff>
    </xdr:from>
    <xdr:ext cx="133483" cy="191166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5909271" y="8013044"/>
          <a:ext cx="133483" cy="1911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419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47625</xdr:rowOff>
        </xdr:from>
        <xdr:to>
          <xdr:col>1</xdr:col>
          <xdr:colOff>1104900</xdr:colOff>
          <xdr:row>1</xdr:row>
          <xdr:rowOff>142875</xdr:rowOff>
        </xdr:to>
        <xdr:sp macro="" textlink="">
          <xdr:nvSpPr>
            <xdr:cNvPr id="9218" name="Botó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result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281667</xdr:colOff>
      <xdr:row>10</xdr:row>
      <xdr:rowOff>29936</xdr:rowOff>
    </xdr:from>
    <xdr:to>
      <xdr:col>13</xdr:col>
      <xdr:colOff>457199</xdr:colOff>
      <xdr:row>31</xdr:row>
      <xdr:rowOff>87086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503465</xdr:colOff>
      <xdr:row>10</xdr:row>
      <xdr:rowOff>0</xdr:rowOff>
    </xdr:from>
    <xdr:to>
      <xdr:col>23</xdr:col>
      <xdr:colOff>284390</xdr:colOff>
      <xdr:row>31</xdr:row>
      <xdr:rowOff>57150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259772</xdr:colOff>
      <xdr:row>33</xdr:row>
      <xdr:rowOff>0</xdr:rowOff>
    </xdr:from>
    <xdr:to>
      <xdr:col>13</xdr:col>
      <xdr:colOff>435304</xdr:colOff>
      <xdr:row>54</xdr:row>
      <xdr:rowOff>57150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357188</xdr:colOff>
      <xdr:row>33</xdr:row>
      <xdr:rowOff>119063</xdr:rowOff>
    </xdr:from>
    <xdr:to>
      <xdr:col>23</xdr:col>
      <xdr:colOff>366033</xdr:colOff>
      <xdr:row>54</xdr:row>
      <xdr:rowOff>176213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389594</xdr:colOff>
      <xdr:row>56</xdr:row>
      <xdr:rowOff>118381</xdr:rowOff>
    </xdr:from>
    <xdr:to>
      <xdr:col>8</xdr:col>
      <xdr:colOff>544286</xdr:colOff>
      <xdr:row>80</xdr:row>
      <xdr:rowOff>176892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408215</xdr:colOff>
      <xdr:row>56</xdr:row>
      <xdr:rowOff>108857</xdr:rowOff>
    </xdr:from>
    <xdr:to>
      <xdr:col>16</xdr:col>
      <xdr:colOff>278947</xdr:colOff>
      <xdr:row>80</xdr:row>
      <xdr:rowOff>167368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476250</xdr:colOff>
      <xdr:row>79</xdr:row>
      <xdr:rowOff>92457</xdr:rowOff>
    </xdr:from>
    <xdr:to>
      <xdr:col>8</xdr:col>
      <xdr:colOff>630942</xdr:colOff>
      <xdr:row>103</xdr:row>
      <xdr:rowOff>150968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155</xdr:row>
      <xdr:rowOff>0</xdr:rowOff>
    </xdr:from>
    <xdr:to>
      <xdr:col>6</xdr:col>
      <xdr:colOff>56902</xdr:colOff>
      <xdr:row>174</xdr:row>
      <xdr:rowOff>69273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0</xdr:colOff>
      <xdr:row>134</xdr:row>
      <xdr:rowOff>0</xdr:rowOff>
    </xdr:from>
    <xdr:to>
      <xdr:col>10</xdr:col>
      <xdr:colOff>555498</xdr:colOff>
      <xdr:row>153</xdr:row>
      <xdr:rowOff>3711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133</xdr:row>
      <xdr:rowOff>163285</xdr:rowOff>
    </xdr:from>
    <xdr:to>
      <xdr:col>17</xdr:col>
      <xdr:colOff>378605</xdr:colOff>
      <xdr:row>152</xdr:row>
      <xdr:rowOff>166996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147</xdr:row>
      <xdr:rowOff>172984</xdr:rowOff>
    </xdr:from>
    <xdr:to>
      <xdr:col>17</xdr:col>
      <xdr:colOff>378605</xdr:colOff>
      <xdr:row>166</xdr:row>
      <xdr:rowOff>176695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0</xdr:colOff>
      <xdr:row>149</xdr:row>
      <xdr:rowOff>62329</xdr:rowOff>
    </xdr:from>
    <xdr:to>
      <xdr:col>10</xdr:col>
      <xdr:colOff>555498</xdr:colOff>
      <xdr:row>168</xdr:row>
      <xdr:rowOff>66040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0</xdr:colOff>
      <xdr:row>219</xdr:row>
      <xdr:rowOff>0</xdr:rowOff>
    </xdr:from>
    <xdr:to>
      <xdr:col>10</xdr:col>
      <xdr:colOff>555498</xdr:colOff>
      <xdr:row>238</xdr:row>
      <xdr:rowOff>3711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218</xdr:row>
      <xdr:rowOff>163285</xdr:rowOff>
    </xdr:from>
    <xdr:to>
      <xdr:col>17</xdr:col>
      <xdr:colOff>378605</xdr:colOff>
      <xdr:row>237</xdr:row>
      <xdr:rowOff>166996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0</xdr:colOff>
      <xdr:row>234</xdr:row>
      <xdr:rowOff>51064</xdr:rowOff>
    </xdr:from>
    <xdr:to>
      <xdr:col>17</xdr:col>
      <xdr:colOff>378605</xdr:colOff>
      <xdr:row>253</xdr:row>
      <xdr:rowOff>54775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</xdr:col>
      <xdr:colOff>0</xdr:colOff>
      <xdr:row>234</xdr:row>
      <xdr:rowOff>62329</xdr:rowOff>
    </xdr:from>
    <xdr:to>
      <xdr:col>10</xdr:col>
      <xdr:colOff>555498</xdr:colOff>
      <xdr:row>253</xdr:row>
      <xdr:rowOff>66040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0</xdr:colOff>
      <xdr:row>362</xdr:row>
      <xdr:rowOff>190499</xdr:rowOff>
    </xdr:from>
    <xdr:to>
      <xdr:col>12</xdr:col>
      <xdr:colOff>555498</xdr:colOff>
      <xdr:row>385</xdr:row>
      <xdr:rowOff>106679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362</xdr:row>
      <xdr:rowOff>163284</xdr:rowOff>
    </xdr:from>
    <xdr:to>
      <xdr:col>19</xdr:col>
      <xdr:colOff>378605</xdr:colOff>
      <xdr:row>385</xdr:row>
      <xdr:rowOff>79464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381</xdr:row>
      <xdr:rowOff>83820</xdr:rowOff>
    </xdr:from>
    <xdr:to>
      <xdr:col>19</xdr:col>
      <xdr:colOff>378605</xdr:colOff>
      <xdr:row>404</xdr:row>
      <xdr:rowOff>0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</xdr:col>
      <xdr:colOff>0</xdr:colOff>
      <xdr:row>381</xdr:row>
      <xdr:rowOff>83820</xdr:rowOff>
    </xdr:from>
    <xdr:to>
      <xdr:col>12</xdr:col>
      <xdr:colOff>555498</xdr:colOff>
      <xdr:row>404</xdr:row>
      <xdr:rowOff>0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20</xdr:col>
      <xdr:colOff>0</xdr:colOff>
      <xdr:row>111</xdr:row>
      <xdr:rowOff>0</xdr:rowOff>
    </xdr:from>
    <xdr:to>
      <xdr:col>31</xdr:col>
      <xdr:colOff>378605</xdr:colOff>
      <xdr:row>147</xdr:row>
      <xdr:rowOff>55146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6833273" y="21890182"/>
          <a:ext cx="9834332" cy="8194691"/>
          <a:chOff x="16587107" y="22261286"/>
          <a:chExt cx="9849177" cy="7062824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00000000-0008-0000-0500-000026000000}"/>
              </a:ext>
            </a:extLst>
          </xdr:cNvPr>
          <xdr:cNvGraphicFramePr>
            <a:graphicFrameLocks/>
          </xdr:cNvGraphicFramePr>
        </xdr:nvGraphicFramePr>
        <xdr:xfrm>
          <a:off x="16587107" y="22261286"/>
          <a:ext cx="4692070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41" name="Gráfic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GraphicFramePr>
            <a:graphicFrameLocks/>
          </xdr:cNvGraphicFramePr>
        </xdr:nvGraphicFramePr>
        <xdr:xfrm>
          <a:off x="16587107" y="25670636"/>
          <a:ext cx="4692070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39" name="Gráfico 38">
            <a:extLst>
              <a:ext uri="{FF2B5EF4-FFF2-40B4-BE49-F238E27FC236}">
                <a16:creationId xmlns:a16="http://schemas.microsoft.com/office/drawing/2014/main" id="{00000000-0008-0000-0500-000027000000}"/>
              </a:ext>
            </a:extLst>
          </xdr:cNvPr>
          <xdr:cNvGraphicFramePr>
            <a:graphicFrameLocks/>
          </xdr:cNvGraphicFramePr>
        </xdr:nvGraphicFramePr>
        <xdr:xfrm>
          <a:off x="21485679" y="22261286"/>
          <a:ext cx="4950605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graphicFrame macro="">
        <xdr:nvGraphicFramePr>
          <xdr:cNvPr id="40" name="Gráfic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GraphicFramePr>
            <a:graphicFrameLocks/>
          </xdr:cNvGraphicFramePr>
        </xdr:nvGraphicFramePr>
        <xdr:xfrm>
          <a:off x="21485679" y="25700899"/>
          <a:ext cx="4950605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</xdr:grpSp>
    <xdr:clientData/>
  </xdr:twoCellAnchor>
  <xdr:twoCellAnchor>
    <xdr:from>
      <xdr:col>23</xdr:col>
      <xdr:colOff>0</xdr:colOff>
      <xdr:row>173</xdr:row>
      <xdr:rowOff>0</xdr:rowOff>
    </xdr:from>
    <xdr:to>
      <xdr:col>34</xdr:col>
      <xdr:colOff>378605</xdr:colOff>
      <xdr:row>207</xdr:row>
      <xdr:rowOff>55146</xdr:rowOff>
    </xdr:to>
    <xdr:grpSp>
      <xdr:nvGrpSpPr>
        <xdr:cNvPr id="44" name="Grupo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GrpSpPr/>
      </xdr:nvGrpSpPr>
      <xdr:grpSpPr>
        <a:xfrm>
          <a:off x="19552227" y="34982727"/>
          <a:ext cx="9401378" cy="6532146"/>
          <a:chOff x="16587107" y="22261286"/>
          <a:chExt cx="9849177" cy="7062824"/>
        </a:xfrm>
      </xdr:grpSpPr>
      <xdr:graphicFrame macro="">
        <xdr:nvGraphicFramePr>
          <xdr:cNvPr id="45" name="Gráfico 44">
            <a:extLst>
              <a:ext uri="{FF2B5EF4-FFF2-40B4-BE49-F238E27FC236}">
                <a16:creationId xmlns:a16="http://schemas.microsoft.com/office/drawing/2014/main" id="{00000000-0008-0000-0500-00002D000000}"/>
              </a:ext>
            </a:extLst>
          </xdr:cNvPr>
          <xdr:cNvGraphicFramePr>
            <a:graphicFrameLocks/>
          </xdr:cNvGraphicFramePr>
        </xdr:nvGraphicFramePr>
        <xdr:xfrm>
          <a:off x="16587107" y="22261286"/>
          <a:ext cx="4692070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46" name="Gráfico 45">
            <a:extLst>
              <a:ext uri="{FF2B5EF4-FFF2-40B4-BE49-F238E27FC236}">
                <a16:creationId xmlns:a16="http://schemas.microsoft.com/office/drawing/2014/main" id="{00000000-0008-0000-0500-00002E000000}"/>
              </a:ext>
            </a:extLst>
          </xdr:cNvPr>
          <xdr:cNvGraphicFramePr>
            <a:graphicFrameLocks/>
          </xdr:cNvGraphicFramePr>
        </xdr:nvGraphicFramePr>
        <xdr:xfrm>
          <a:off x="16587107" y="25681849"/>
          <a:ext cx="4692070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47" name="Gráfico 46">
            <a:extLst>
              <a:ext uri="{FF2B5EF4-FFF2-40B4-BE49-F238E27FC236}">
                <a16:creationId xmlns:a16="http://schemas.microsoft.com/office/drawing/2014/main" id="{00000000-0008-0000-0500-00002F000000}"/>
              </a:ext>
            </a:extLst>
          </xdr:cNvPr>
          <xdr:cNvGraphicFramePr>
            <a:graphicFrameLocks/>
          </xdr:cNvGraphicFramePr>
        </xdr:nvGraphicFramePr>
        <xdr:xfrm>
          <a:off x="21485679" y="25700899"/>
          <a:ext cx="4950605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48" name="Gráfico 47">
            <a:extLst>
              <a:ext uri="{FF2B5EF4-FFF2-40B4-BE49-F238E27FC236}">
                <a16:creationId xmlns:a16="http://schemas.microsoft.com/office/drawing/2014/main" id="{00000000-0008-0000-0500-000030000000}"/>
              </a:ext>
            </a:extLst>
          </xdr:cNvPr>
          <xdr:cNvGraphicFramePr>
            <a:graphicFrameLocks/>
          </xdr:cNvGraphicFramePr>
        </xdr:nvGraphicFramePr>
        <xdr:xfrm>
          <a:off x="21485679" y="22261286"/>
          <a:ext cx="4950605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</xdr:grpSp>
    <xdr:clientData/>
  </xdr:twoCellAnchor>
  <xdr:twoCellAnchor>
    <xdr:from>
      <xdr:col>21</xdr:col>
      <xdr:colOff>0</xdr:colOff>
      <xdr:row>222</xdr:row>
      <xdr:rowOff>0</xdr:rowOff>
    </xdr:from>
    <xdr:to>
      <xdr:col>32</xdr:col>
      <xdr:colOff>378605</xdr:colOff>
      <xdr:row>242</xdr:row>
      <xdr:rowOff>0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GrpSpPr/>
      </xdr:nvGrpSpPr>
      <xdr:grpSpPr>
        <a:xfrm>
          <a:off x="17595273" y="44317227"/>
          <a:ext cx="9834332" cy="3810000"/>
          <a:chOff x="16587107" y="22261286"/>
          <a:chExt cx="9849177" cy="7062824"/>
        </a:xfrm>
      </xdr:grpSpPr>
      <xdr:graphicFrame macro="">
        <xdr:nvGraphicFramePr>
          <xdr:cNvPr id="56" name="Gráfico 55">
            <a:extLst>
              <a:ext uri="{FF2B5EF4-FFF2-40B4-BE49-F238E27FC236}">
                <a16:creationId xmlns:a16="http://schemas.microsoft.com/office/drawing/2014/main" id="{00000000-0008-0000-0500-000038000000}"/>
              </a:ext>
            </a:extLst>
          </xdr:cNvPr>
          <xdr:cNvGraphicFramePr>
            <a:graphicFrameLocks/>
          </xdr:cNvGraphicFramePr>
        </xdr:nvGraphicFramePr>
        <xdr:xfrm>
          <a:off x="16587107" y="22261286"/>
          <a:ext cx="4692070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graphicFrame macro="">
        <xdr:nvGraphicFramePr>
          <xdr:cNvPr id="57" name="Gráfico 56">
            <a:extLst>
              <a:ext uri="{FF2B5EF4-FFF2-40B4-BE49-F238E27FC236}">
                <a16:creationId xmlns:a16="http://schemas.microsoft.com/office/drawing/2014/main" id="{00000000-0008-0000-0500-000039000000}"/>
              </a:ext>
            </a:extLst>
          </xdr:cNvPr>
          <xdr:cNvGraphicFramePr>
            <a:graphicFrameLocks/>
          </xdr:cNvGraphicFramePr>
        </xdr:nvGraphicFramePr>
        <xdr:xfrm>
          <a:off x="16587107" y="25681849"/>
          <a:ext cx="4692070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graphicFrame macro="">
        <xdr:nvGraphicFramePr>
          <xdr:cNvPr id="58" name="Gráfico 57">
            <a:extLst>
              <a:ext uri="{FF2B5EF4-FFF2-40B4-BE49-F238E27FC236}">
                <a16:creationId xmlns:a16="http://schemas.microsoft.com/office/drawing/2014/main" id="{00000000-0008-0000-0500-00003A000000}"/>
              </a:ext>
            </a:extLst>
          </xdr:cNvPr>
          <xdr:cNvGraphicFramePr>
            <a:graphicFrameLocks/>
          </xdr:cNvGraphicFramePr>
        </xdr:nvGraphicFramePr>
        <xdr:xfrm>
          <a:off x="21485679" y="22261286"/>
          <a:ext cx="4950605" cy="415388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1"/>
          </a:graphicData>
        </a:graphic>
      </xdr:graphicFrame>
      <xdr:graphicFrame macro="">
        <xdr:nvGraphicFramePr>
          <xdr:cNvPr id="59" name="Gráfico 58">
            <a:extLst>
              <a:ext uri="{FF2B5EF4-FFF2-40B4-BE49-F238E27FC236}">
                <a16:creationId xmlns:a16="http://schemas.microsoft.com/office/drawing/2014/main" id="{00000000-0008-0000-0500-00003B000000}"/>
              </a:ext>
            </a:extLst>
          </xdr:cNvPr>
          <xdr:cNvGraphicFramePr>
            <a:graphicFrameLocks/>
          </xdr:cNvGraphicFramePr>
        </xdr:nvGraphicFramePr>
        <xdr:xfrm>
          <a:off x="21485679" y="25700899"/>
          <a:ext cx="4950605" cy="362321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2"/>
          </a:graphicData>
        </a:graphic>
      </xdr:graphicFrame>
    </xdr:grpSp>
    <xdr:clientData/>
  </xdr:twoCellAnchor>
  <xdr:twoCellAnchor>
    <xdr:from>
      <xdr:col>13</xdr:col>
      <xdr:colOff>518527</xdr:colOff>
      <xdr:row>288</xdr:row>
      <xdr:rowOff>96981</xdr:rowOff>
    </xdr:from>
    <xdr:to>
      <xdr:col>19</xdr:col>
      <xdr:colOff>513433</xdr:colOff>
      <xdr:row>299</xdr:row>
      <xdr:rowOff>173181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24</xdr:col>
      <xdr:colOff>168090</xdr:colOff>
      <xdr:row>110</xdr:row>
      <xdr:rowOff>324970</xdr:rowOff>
    </xdr:from>
    <xdr:to>
      <xdr:col>25</xdr:col>
      <xdr:colOff>324972</xdr:colOff>
      <xdr:row>112</xdr:row>
      <xdr:rowOff>44823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21145502" y="22400558"/>
          <a:ext cx="918882" cy="4818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419" sz="1100" b="1" i="1"/>
            <a:t>Importance</a:t>
          </a:r>
        </a:p>
      </xdr:txBody>
    </xdr:sp>
    <xdr:clientData/>
  </xdr:twoCellAnchor>
  <xdr:twoCellAnchor>
    <xdr:from>
      <xdr:col>24</xdr:col>
      <xdr:colOff>141196</xdr:colOff>
      <xdr:row>145</xdr:row>
      <xdr:rowOff>129989</xdr:rowOff>
    </xdr:from>
    <xdr:to>
      <xdr:col>25</xdr:col>
      <xdr:colOff>298078</xdr:colOff>
      <xdr:row>147</xdr:row>
      <xdr:rowOff>40342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 txBox="1"/>
      </xdr:nvSpPr>
      <xdr:spPr>
        <a:xfrm>
          <a:off x="20872078" y="29018754"/>
          <a:ext cx="918882" cy="2913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419" sz="1100" b="1"/>
            <a:t>Importance</a:t>
          </a:r>
        </a:p>
      </xdr:txBody>
    </xdr:sp>
    <xdr:clientData/>
  </xdr:twoCellAnchor>
  <xdr:twoCellAnchor>
    <xdr:from>
      <xdr:col>30</xdr:col>
      <xdr:colOff>629771</xdr:colOff>
      <xdr:row>129</xdr:row>
      <xdr:rowOff>35863</xdr:rowOff>
    </xdr:from>
    <xdr:to>
      <xdr:col>31</xdr:col>
      <xdr:colOff>159124</xdr:colOff>
      <xdr:row>132</xdr:row>
      <xdr:rowOff>33619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 txBox="1"/>
      </xdr:nvSpPr>
      <xdr:spPr>
        <a:xfrm rot="5400000">
          <a:off x="25793702" y="26015579"/>
          <a:ext cx="569256" cy="2913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/>
        <a:lstStyle/>
        <a:p>
          <a:r>
            <a:rPr lang="es-419" sz="1100" b="1" i="1"/>
            <a:t>Score</a:t>
          </a:r>
        </a:p>
      </xdr:txBody>
    </xdr:sp>
    <xdr:clientData/>
  </xdr:twoCellAnchor>
  <xdr:twoCellAnchor>
    <xdr:from>
      <xdr:col>20</xdr:col>
      <xdr:colOff>54430</xdr:colOff>
      <xdr:row>128</xdr:row>
      <xdr:rowOff>149677</xdr:rowOff>
    </xdr:from>
    <xdr:to>
      <xdr:col>20</xdr:col>
      <xdr:colOff>326574</xdr:colOff>
      <xdr:row>131</xdr:row>
      <xdr:rowOff>108858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 rot="16200000">
          <a:off x="16512268" y="25942017"/>
          <a:ext cx="530681" cy="2721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/>
        <a:lstStyle/>
        <a:p>
          <a:r>
            <a:rPr lang="es-419" sz="1100" b="1" i="1"/>
            <a:t>Score</a:t>
          </a:r>
        </a:p>
      </xdr:txBody>
    </xdr:sp>
    <xdr:clientData/>
  </xdr:twoCellAnchor>
  <xdr:twoCellAnchor>
    <xdr:from>
      <xdr:col>13</xdr:col>
      <xdr:colOff>275560</xdr:colOff>
      <xdr:row>301</xdr:row>
      <xdr:rowOff>132534</xdr:rowOff>
    </xdr:from>
    <xdr:to>
      <xdr:col>20</xdr:col>
      <xdr:colOff>750793</xdr:colOff>
      <xdr:row>323</xdr:row>
      <xdr:rowOff>11206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12</xdr:col>
      <xdr:colOff>629056</xdr:colOff>
      <xdr:row>344</xdr:row>
      <xdr:rowOff>50527</xdr:rowOff>
    </xdr:from>
    <xdr:to>
      <xdr:col>21</xdr:col>
      <xdr:colOff>145677</xdr:colOff>
      <xdr:row>363</xdr:row>
      <xdr:rowOff>47624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</xdr:col>
      <xdr:colOff>121228</xdr:colOff>
      <xdr:row>355</xdr:row>
      <xdr:rowOff>86591</xdr:rowOff>
    </xdr:from>
    <xdr:to>
      <xdr:col>7</xdr:col>
      <xdr:colOff>653508</xdr:colOff>
      <xdr:row>373</xdr:row>
      <xdr:rowOff>79868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12</xdr:col>
      <xdr:colOff>623455</xdr:colOff>
      <xdr:row>330</xdr:row>
      <xdr:rowOff>0</xdr:rowOff>
    </xdr:from>
    <xdr:to>
      <xdr:col>19</xdr:col>
      <xdr:colOff>393735</xdr:colOff>
      <xdr:row>343</xdr:row>
      <xdr:rowOff>27914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ufe0\Google%20Drive\Doctorate_Luisa\APPLIES\Expert%20review\Surve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1. Motiv Inst."/>
      <sheetName val="2. Definitions"/>
      <sheetName val="3. Criteria"/>
      <sheetName val="4. Statements"/>
      <sheetName val="5. OpenQuestions"/>
      <sheetName val="Question1 (2)"/>
      <sheetName val="Sources of data"/>
      <sheetName val="Referen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B0F81-EE67-41A1-9018-AB08446FAAD1}">
  <sheetPr codeName="Hoja10"/>
  <dimension ref="A1:AX35"/>
  <sheetViews>
    <sheetView topLeftCell="C1" zoomScale="85" zoomScaleNormal="85" zoomScaleSheetLayoutView="55" workbookViewId="0">
      <selection activeCell="B1" sqref="B1:R1"/>
    </sheetView>
  </sheetViews>
  <sheetFormatPr baseColWidth="10" defaultRowHeight="15" x14ac:dyDescent="0.25"/>
  <cols>
    <col min="1" max="1" width="11" style="80" hidden="1" customWidth="1"/>
    <col min="2" max="2" width="12.85546875" style="80" hidden="1" customWidth="1"/>
    <col min="3" max="3" width="14.28515625" style="225" customWidth="1"/>
    <col min="4" max="4" width="14.28515625" style="1" hidden="1" customWidth="1"/>
    <col min="5" max="5" width="17.140625" style="1" hidden="1" customWidth="1"/>
    <col min="6" max="6" width="54.28515625" style="80" customWidth="1"/>
    <col min="7" max="8" width="5" style="87" hidden="1" customWidth="1"/>
    <col min="9" max="9" width="14.7109375" style="48" customWidth="1"/>
    <col min="10" max="10" width="4.28515625" style="48" customWidth="1"/>
    <col min="11" max="11" width="14.5703125" style="48" hidden="1" customWidth="1"/>
    <col min="12" max="12" width="17" style="204" customWidth="1"/>
    <col min="13" max="14" width="17" style="204" hidden="1" customWidth="1"/>
    <col min="15" max="15" width="49.140625" style="48" customWidth="1"/>
    <col min="16" max="16" width="7" style="48" hidden="1" customWidth="1"/>
    <col min="17" max="17" width="16.28515625" style="48" customWidth="1"/>
    <col min="18" max="18" width="3.5703125" style="48" customWidth="1"/>
    <col min="19" max="22" width="12.42578125" style="48" customWidth="1"/>
    <col min="23" max="23" width="8.7109375" style="80" customWidth="1"/>
    <col min="24" max="24" width="5.28515625" style="80" customWidth="1"/>
    <col min="25" max="40" width="11.42578125" style="80"/>
    <col min="41" max="41" width="28.5703125" style="80" customWidth="1"/>
    <col min="42" max="43" width="11.42578125" style="80"/>
    <col min="44" max="44" width="13.7109375" style="80" customWidth="1"/>
    <col min="45" max="45" width="11.42578125" style="80" customWidth="1"/>
    <col min="46" max="46" width="11.42578125" style="167"/>
    <col min="47" max="47" width="13.28515625" style="167" customWidth="1"/>
    <col min="48" max="48" width="11.42578125" style="167"/>
    <col min="49" max="49" width="11.85546875" style="80" bestFit="1" customWidth="1"/>
    <col min="50" max="16384" width="11.42578125" style="80"/>
  </cols>
  <sheetData>
    <row r="1" spans="1:50" ht="29.25" thickBot="1" x14ac:dyDescent="0.5">
      <c r="A1"/>
      <c r="B1" s="259" t="s">
        <v>322</v>
      </c>
      <c r="C1" s="259"/>
      <c r="D1" s="259"/>
      <c r="E1" s="259"/>
      <c r="F1" s="259"/>
      <c r="G1" s="130"/>
      <c r="H1" s="244"/>
      <c r="I1" s="258"/>
      <c r="J1" s="258"/>
      <c r="K1" s="258"/>
      <c r="L1" s="258"/>
      <c r="M1" s="258"/>
      <c r="N1" s="258"/>
      <c r="O1" s="258"/>
      <c r="P1" s="258"/>
      <c r="Q1" s="258"/>
      <c r="R1" s="258"/>
      <c r="S1" s="240"/>
      <c r="T1" s="240"/>
      <c r="U1" s="240"/>
      <c r="V1" s="240"/>
      <c r="W1" s="240"/>
      <c r="X1" s="240"/>
      <c r="Y1" s="240"/>
      <c r="Z1" s="240"/>
      <c r="AA1" s="219"/>
      <c r="AB1" s="81"/>
      <c r="AC1" s="81"/>
      <c r="AD1" s="81"/>
      <c r="AE1" s="81"/>
      <c r="AF1" s="81"/>
      <c r="AG1" s="81"/>
      <c r="AH1" s="81"/>
      <c r="AI1" s="81"/>
      <c r="AT1" s="80"/>
      <c r="AU1" s="80"/>
      <c r="AV1" s="80"/>
      <c r="AW1" s="99"/>
    </row>
    <row r="2" spans="1:50" ht="3.75" customHeight="1" thickBot="1" x14ac:dyDescent="0.3">
      <c r="A2"/>
      <c r="B2"/>
      <c r="F2" s="109"/>
      <c r="G2" s="112"/>
      <c r="H2" s="112"/>
      <c r="I2" s="108"/>
      <c r="O2" s="108"/>
      <c r="P2" s="108"/>
      <c r="Q2" s="108"/>
      <c r="AB2" s="81"/>
      <c r="AC2" s="81"/>
      <c r="AD2" s="81"/>
      <c r="AE2" s="81"/>
      <c r="AF2" s="81"/>
      <c r="AG2" s="81"/>
      <c r="AH2" s="81"/>
      <c r="AI2" s="81"/>
      <c r="AT2" s="80"/>
      <c r="AU2" s="80"/>
      <c r="AV2" s="80"/>
      <c r="AW2" s="99"/>
    </row>
    <row r="3" spans="1:50" s="81" customFormat="1" ht="43.5" customHeight="1" thickBot="1" x14ac:dyDescent="0.3">
      <c r="A3" s="206"/>
      <c r="B3" s="227" t="s">
        <v>346</v>
      </c>
      <c r="C3" s="228" t="s">
        <v>116</v>
      </c>
      <c r="D3" s="228" t="s">
        <v>1</v>
      </c>
      <c r="E3" s="228" t="s">
        <v>380</v>
      </c>
      <c r="F3" s="228" t="s">
        <v>406</v>
      </c>
      <c r="G3" s="228">
        <f>SUM(G4:G6)</f>
        <v>3</v>
      </c>
      <c r="H3" s="228"/>
      <c r="I3" s="239" t="s">
        <v>326</v>
      </c>
      <c r="J3" s="158"/>
      <c r="K3" s="227" t="s">
        <v>346</v>
      </c>
      <c r="L3" s="227" t="s">
        <v>116</v>
      </c>
      <c r="M3" s="228" t="s">
        <v>1</v>
      </c>
      <c r="N3" s="228"/>
      <c r="O3" s="228" t="s">
        <v>408</v>
      </c>
      <c r="P3" s="228">
        <f>SUM(P4:P14)</f>
        <v>10</v>
      </c>
      <c r="Q3" s="239" t="s">
        <v>326</v>
      </c>
      <c r="R3" s="160"/>
      <c r="S3" s="262" t="str">
        <f>Data!C4</f>
        <v xml:space="preserve"> -- Alignment with adoption drivers</v>
      </c>
      <c r="T3" s="263"/>
      <c r="U3" s="263"/>
      <c r="V3" s="263"/>
      <c r="W3" s="263"/>
      <c r="X3" s="263"/>
      <c r="Y3" s="263"/>
      <c r="Z3" s="264"/>
      <c r="AA3" s="247"/>
      <c r="AB3" s="247"/>
      <c r="AC3" s="247"/>
      <c r="AD3" s="247"/>
      <c r="AE3" s="247"/>
      <c r="AF3" s="247"/>
      <c r="AG3" s="247"/>
      <c r="AH3" s="247"/>
      <c r="AO3" s="172" t="s">
        <v>319</v>
      </c>
      <c r="AP3" s="173" t="s">
        <v>318</v>
      </c>
      <c r="AQ3" s="174" t="s">
        <v>315</v>
      </c>
      <c r="AR3" s="172" t="s">
        <v>316</v>
      </c>
      <c r="AS3" s="87" t="s">
        <v>2</v>
      </c>
      <c r="AT3" s="174" t="s">
        <v>402</v>
      </c>
      <c r="AU3" s="174" t="s">
        <v>403</v>
      </c>
      <c r="AW3" s="175"/>
    </row>
    <row r="4" spans="1:50" s="81" customFormat="1" ht="45" x14ac:dyDescent="0.25">
      <c r="A4" s="191" t="s">
        <v>32</v>
      </c>
      <c r="B4" s="191" t="s">
        <v>349</v>
      </c>
      <c r="C4" s="201" t="s">
        <v>394</v>
      </c>
      <c r="D4" s="201" t="s">
        <v>46</v>
      </c>
      <c r="E4" s="201" t="s">
        <v>386</v>
      </c>
      <c r="F4" s="198" t="s">
        <v>389</v>
      </c>
      <c r="G4" s="103">
        <v>1</v>
      </c>
      <c r="H4" s="103">
        <f>IF(I4=$AS$3,1,0)</f>
        <v>0</v>
      </c>
      <c r="I4" s="169"/>
      <c r="J4" s="159"/>
      <c r="K4" s="215" t="s">
        <v>361</v>
      </c>
      <c r="L4" s="207" t="s">
        <v>411</v>
      </c>
      <c r="M4" s="216" t="s">
        <v>46</v>
      </c>
      <c r="N4" s="216" t="s">
        <v>382</v>
      </c>
      <c r="O4" s="224" t="s">
        <v>334</v>
      </c>
      <c r="P4" s="221">
        <v>1</v>
      </c>
      <c r="Q4" s="222"/>
      <c r="R4" s="159"/>
      <c r="S4" s="182"/>
      <c r="T4" s="168"/>
      <c r="U4" s="168"/>
      <c r="V4" s="168"/>
      <c r="W4" s="168"/>
      <c r="X4" s="168"/>
      <c r="Y4" s="168"/>
      <c r="Z4" s="183"/>
      <c r="AA4" s="175"/>
      <c r="AB4" s="175"/>
      <c r="AC4" s="175"/>
      <c r="AD4" s="175"/>
      <c r="AE4" s="175"/>
      <c r="AF4" s="175"/>
      <c r="AG4" s="175"/>
      <c r="AH4" s="175"/>
      <c r="AN4" s="261"/>
      <c r="AO4" s="173" t="str">
        <f>_xlfn.CONCAT(F3)</f>
        <v>Strength-based drivers</v>
      </c>
      <c r="AP4" s="176">
        <f t="shared" ref="AP4:AP5" si="0">AR4/AQ4</f>
        <v>0</v>
      </c>
      <c r="AQ4" s="177">
        <f>G3</f>
        <v>3</v>
      </c>
      <c r="AR4" s="177">
        <f>IF(I4=AS3,1,0)+IF(I5=AS3,1,0)+IF(I6=AS3,1,0)</f>
        <v>0</v>
      </c>
      <c r="AS4" s="87" t="s">
        <v>0</v>
      </c>
      <c r="AT4" s="173" t="str">
        <f>AO4</f>
        <v>Strength-based drivers</v>
      </c>
      <c r="AU4" s="178" t="e">
        <f>AR4/$AR$8</f>
        <v>#DIV/0!</v>
      </c>
      <c r="AV4" s="80"/>
      <c r="AW4" s="99"/>
      <c r="AX4" s="80"/>
    </row>
    <row r="5" spans="1:50" s="81" customFormat="1" ht="33.75" customHeight="1" x14ac:dyDescent="0.25">
      <c r="A5" s="191" t="s">
        <v>23</v>
      </c>
      <c r="B5" s="191" t="s">
        <v>350</v>
      </c>
      <c r="C5" s="201" t="s">
        <v>393</v>
      </c>
      <c r="D5" s="201" t="s">
        <v>46</v>
      </c>
      <c r="E5" s="201" t="s">
        <v>387</v>
      </c>
      <c r="F5" s="198" t="s">
        <v>390</v>
      </c>
      <c r="G5" s="103">
        <v>1</v>
      </c>
      <c r="H5" s="103">
        <f>IF(I5=$AS$3,1,0)</f>
        <v>0</v>
      </c>
      <c r="I5" s="169"/>
      <c r="J5" s="159"/>
      <c r="K5" s="207" t="s">
        <v>362</v>
      </c>
      <c r="L5" s="207" t="s">
        <v>366</v>
      </c>
      <c r="M5" s="208" t="s">
        <v>46</v>
      </c>
      <c r="N5" s="216" t="s">
        <v>382</v>
      </c>
      <c r="O5" s="198" t="s">
        <v>205</v>
      </c>
      <c r="P5" s="209">
        <v>1</v>
      </c>
      <c r="Q5" s="213"/>
      <c r="R5" s="159"/>
      <c r="S5" s="182"/>
      <c r="T5" s="168"/>
      <c r="U5" s="168"/>
      <c r="V5" s="168"/>
      <c r="W5" s="168"/>
      <c r="X5" s="168"/>
      <c r="Y5" s="168"/>
      <c r="Z5" s="183"/>
      <c r="AA5" s="175"/>
      <c r="AB5" s="175"/>
      <c r="AC5" s="175"/>
      <c r="AD5" s="175"/>
      <c r="AE5" s="175"/>
      <c r="AF5" s="175"/>
      <c r="AG5" s="175"/>
      <c r="AH5" s="175"/>
      <c r="AN5" s="261"/>
      <c r="AO5" s="173" t="str">
        <f>_xlfn.CONCAT(F8)</f>
        <v>Opportunity-based drivers</v>
      </c>
      <c r="AP5" s="176">
        <f t="shared" si="0"/>
        <v>0</v>
      </c>
      <c r="AQ5" s="177">
        <f>G8</f>
        <v>6</v>
      </c>
      <c r="AR5" s="177">
        <f>IF(I9=AS3,1,0)+IF(I10=AS3,1,0)+IF(I11=AS3,1,0)+IF(I13=AS3,1,0)+IF(I12=AS3,1,0)+IF(I14=AS3,1,0)</f>
        <v>0</v>
      </c>
      <c r="AS5" s="87" t="s">
        <v>317</v>
      </c>
      <c r="AT5" s="173" t="str">
        <f t="shared" ref="AT5:AT7" si="1">AO5</f>
        <v>Opportunity-based drivers</v>
      </c>
      <c r="AU5" s="178" t="e">
        <f t="shared" ref="AU5:AU7" si="2">AR5/$AR$8</f>
        <v>#DIV/0!</v>
      </c>
      <c r="AV5" s="241"/>
      <c r="AW5" s="175"/>
    </row>
    <row r="6" spans="1:50" s="81" customFormat="1" ht="60.75" customHeight="1" thickBot="1" x14ac:dyDescent="0.3">
      <c r="A6" s="191" t="s">
        <v>157</v>
      </c>
      <c r="B6" s="194" t="s">
        <v>358</v>
      </c>
      <c r="C6" s="202" t="s">
        <v>360</v>
      </c>
      <c r="D6" s="202" t="s">
        <v>46</v>
      </c>
      <c r="E6" s="202" t="s">
        <v>386</v>
      </c>
      <c r="F6" s="220" t="s">
        <v>400</v>
      </c>
      <c r="G6" s="170">
        <v>1</v>
      </c>
      <c r="H6" s="103">
        <f>IF(I6=$AS$3,1,0)</f>
        <v>0</v>
      </c>
      <c r="I6" s="171"/>
      <c r="J6" s="159"/>
      <c r="K6" s="207" t="s">
        <v>363</v>
      </c>
      <c r="L6" s="207" t="s">
        <v>367</v>
      </c>
      <c r="M6" s="208" t="s">
        <v>46</v>
      </c>
      <c r="N6" s="216" t="s">
        <v>382</v>
      </c>
      <c r="O6" s="198" t="s">
        <v>344</v>
      </c>
      <c r="P6" s="209">
        <v>1</v>
      </c>
      <c r="Q6" s="213"/>
      <c r="R6" s="159"/>
      <c r="S6" s="182"/>
      <c r="T6" s="168"/>
      <c r="U6" s="168"/>
      <c r="V6" s="168"/>
      <c r="W6" s="168"/>
      <c r="X6" s="168"/>
      <c r="Y6" s="168"/>
      <c r="Z6" s="183"/>
      <c r="AA6" s="175"/>
      <c r="AB6" s="175"/>
      <c r="AC6" s="175"/>
      <c r="AD6" s="175"/>
      <c r="AE6" s="175"/>
      <c r="AF6" s="175"/>
      <c r="AG6" s="175"/>
      <c r="AH6" s="175"/>
      <c r="AN6" s="261"/>
      <c r="AO6" s="173" t="str">
        <f>_xlfn.CONCAT(O3)</f>
        <v>Weakness-based drivers</v>
      </c>
      <c r="AP6" s="178">
        <f>AR6/AQ6</f>
        <v>0</v>
      </c>
      <c r="AQ6" s="177">
        <f>P3</f>
        <v>10</v>
      </c>
      <c r="AR6" s="177">
        <f>IF(Q4=AS3,1,0)+IF(Q5=AS3,1,0)+IF(Q6=AS3,1,0)+IF(Q7=AS3,1,0)+IF(Q8=AS3,1,0)+IF(Q9=AS3,1,0)+IF(Q10=AS3,1,0)+IF(Q11=AS3,1,0)+IF(Q12=AS3,1,0)+IF(Q13=AS3,1,0)+IF(Q14=AS3,1,0)</f>
        <v>0</v>
      </c>
      <c r="AS6" s="87"/>
      <c r="AT6" s="173" t="str">
        <f t="shared" si="1"/>
        <v>Weakness-based drivers</v>
      </c>
      <c r="AU6" s="178" t="e">
        <f t="shared" si="2"/>
        <v>#DIV/0!</v>
      </c>
      <c r="AV6" s="241"/>
      <c r="AW6" s="175"/>
    </row>
    <row r="7" spans="1:50" s="81" customFormat="1" ht="45.75" thickBot="1" x14ac:dyDescent="0.3">
      <c r="A7" s="191" t="s">
        <v>137</v>
      </c>
      <c r="J7" s="159"/>
      <c r="K7" s="207" t="s">
        <v>364</v>
      </c>
      <c r="L7" s="207" t="s">
        <v>368</v>
      </c>
      <c r="M7" s="208" t="s">
        <v>46</v>
      </c>
      <c r="N7" s="216" t="s">
        <v>382</v>
      </c>
      <c r="O7" s="198" t="s">
        <v>211</v>
      </c>
      <c r="P7" s="209">
        <v>1</v>
      </c>
      <c r="Q7" s="213"/>
      <c r="R7" s="161"/>
      <c r="S7" s="182"/>
      <c r="T7" s="168"/>
      <c r="U7" s="168"/>
      <c r="V7" s="168"/>
      <c r="W7" s="168"/>
      <c r="X7" s="168"/>
      <c r="Y7" s="168"/>
      <c r="Z7" s="183"/>
      <c r="AA7" s="175"/>
      <c r="AB7" s="175"/>
      <c r="AC7" s="175"/>
      <c r="AD7" s="175"/>
      <c r="AE7" s="175"/>
      <c r="AF7" s="175"/>
      <c r="AG7" s="175"/>
      <c r="AH7" s="175"/>
      <c r="AN7" s="260"/>
      <c r="AO7" s="173" t="str">
        <f>_xlfn.CONCAT(O15)</f>
        <v>Threat-based drivers</v>
      </c>
      <c r="AP7" s="176">
        <f>AR7/AQ7</f>
        <v>0</v>
      </c>
      <c r="AQ7" s="177">
        <f>P15</f>
        <v>1</v>
      </c>
      <c r="AR7" s="177">
        <f>IF(Q16=AS3,1,0)</f>
        <v>0</v>
      </c>
      <c r="AS7" s="87"/>
      <c r="AT7" s="173" t="str">
        <f t="shared" si="1"/>
        <v>Threat-based drivers</v>
      </c>
      <c r="AU7" s="178" t="e">
        <f t="shared" si="2"/>
        <v>#DIV/0!</v>
      </c>
      <c r="AV7" s="241"/>
      <c r="AW7" s="175"/>
    </row>
    <row r="8" spans="1:50" s="81" customFormat="1" ht="42.75" customHeight="1" thickBot="1" x14ac:dyDescent="0.3">
      <c r="A8" s="191" t="s">
        <v>138</v>
      </c>
      <c r="B8" s="236" t="s">
        <v>346</v>
      </c>
      <c r="C8" s="237" t="s">
        <v>116</v>
      </c>
      <c r="D8" s="237" t="s">
        <v>1</v>
      </c>
      <c r="E8" s="237" t="s">
        <v>380</v>
      </c>
      <c r="F8" s="237" t="s">
        <v>407</v>
      </c>
      <c r="G8" s="237">
        <f>SUM(G9:G14)</f>
        <v>6</v>
      </c>
      <c r="H8" s="237"/>
      <c r="I8" s="238"/>
      <c r="J8" s="159"/>
      <c r="K8" s="207" t="s">
        <v>365</v>
      </c>
      <c r="L8" s="207" t="s">
        <v>412</v>
      </c>
      <c r="M8" s="208" t="s">
        <v>46</v>
      </c>
      <c r="N8" s="216" t="s">
        <v>382</v>
      </c>
      <c r="O8" s="198" t="s">
        <v>320</v>
      </c>
      <c r="P8" s="209">
        <v>1</v>
      </c>
      <c r="Q8" s="213"/>
      <c r="R8" s="159"/>
      <c r="S8" s="262" t="str">
        <f>Data!C5</f>
        <v xml:space="preserve"> -- Share of selected drivers</v>
      </c>
      <c r="T8" s="263"/>
      <c r="U8" s="263"/>
      <c r="V8" s="263"/>
      <c r="W8" s="263"/>
      <c r="X8" s="263"/>
      <c r="Y8" s="263"/>
      <c r="Z8" s="264"/>
      <c r="AA8" s="175"/>
      <c r="AB8" s="175"/>
      <c r="AC8" s="175"/>
      <c r="AD8" s="175"/>
      <c r="AE8" s="175"/>
      <c r="AF8" s="175"/>
      <c r="AG8" s="175"/>
      <c r="AH8" s="175"/>
      <c r="AN8" s="260"/>
      <c r="AO8" s="172" t="s">
        <v>404</v>
      </c>
      <c r="AP8" s="246"/>
      <c r="AQ8" s="174">
        <f>SUM(AQ4:AQ7)</f>
        <v>20</v>
      </c>
      <c r="AR8" s="174">
        <f>SUM(AR4:AR7)</f>
        <v>0</v>
      </c>
      <c r="AS8" s="87">
        <f>AQ8-AR8</f>
        <v>20</v>
      </c>
      <c r="AU8" s="242"/>
      <c r="AV8" s="175"/>
      <c r="AW8" s="242"/>
    </row>
    <row r="9" spans="1:50" s="81" customFormat="1" ht="45" customHeight="1" x14ac:dyDescent="0.25">
      <c r="A9" s="195"/>
      <c r="B9" s="232" t="s">
        <v>353</v>
      </c>
      <c r="C9" s="201" t="s">
        <v>413</v>
      </c>
      <c r="D9" s="233" t="s">
        <v>47</v>
      </c>
      <c r="E9" s="234" t="s">
        <v>381</v>
      </c>
      <c r="F9" s="235" t="s">
        <v>383</v>
      </c>
      <c r="G9" s="103">
        <v>1</v>
      </c>
      <c r="H9" s="103">
        <f t="shared" ref="H9:H13" si="3">IF(I9=$AS$3,1,0)</f>
        <v>0</v>
      </c>
      <c r="I9" s="222"/>
      <c r="J9" s="160"/>
      <c r="K9" s="210" t="s">
        <v>376</v>
      </c>
      <c r="L9" s="210" t="s">
        <v>375</v>
      </c>
      <c r="M9" s="211" t="s">
        <v>46</v>
      </c>
      <c r="N9" s="216" t="s">
        <v>382</v>
      </c>
      <c r="O9" s="199" t="s">
        <v>345</v>
      </c>
      <c r="P9" s="212">
        <v>1</v>
      </c>
      <c r="Q9" s="223"/>
      <c r="R9" s="161"/>
      <c r="S9" s="249"/>
      <c r="T9" s="175"/>
      <c r="U9" s="175"/>
      <c r="V9" s="175"/>
      <c r="W9" s="175"/>
      <c r="X9" s="175"/>
      <c r="Y9" s="248"/>
      <c r="Z9" s="250"/>
      <c r="AA9" s="175"/>
      <c r="AB9" s="175"/>
      <c r="AC9" s="175"/>
      <c r="AD9" s="175"/>
      <c r="AE9" s="175"/>
      <c r="AF9" s="175"/>
      <c r="AG9" s="175"/>
      <c r="AH9" s="175"/>
      <c r="AN9" s="260"/>
      <c r="AQ9" s="81" t="s">
        <v>398</v>
      </c>
      <c r="AR9" s="81" t="s">
        <v>399</v>
      </c>
      <c r="AS9" s="87"/>
      <c r="AU9" s="175"/>
      <c r="AV9" s="175"/>
      <c r="AW9" s="175"/>
    </row>
    <row r="10" spans="1:50" s="81" customFormat="1" ht="30.75" customHeight="1" x14ac:dyDescent="0.25">
      <c r="A10" s="192" t="s">
        <v>186</v>
      </c>
      <c r="B10" s="191" t="s">
        <v>354</v>
      </c>
      <c r="C10" s="201" t="s">
        <v>355</v>
      </c>
      <c r="D10" s="201" t="s">
        <v>47</v>
      </c>
      <c r="E10" s="226" t="s">
        <v>381</v>
      </c>
      <c r="F10" s="198" t="s">
        <v>391</v>
      </c>
      <c r="G10" s="103">
        <v>1</v>
      </c>
      <c r="H10" s="103">
        <f t="shared" si="3"/>
        <v>0</v>
      </c>
      <c r="I10" s="222"/>
      <c r="J10" s="159"/>
      <c r="K10" s="215" t="s">
        <v>372</v>
      </c>
      <c r="L10" s="215" t="s">
        <v>369</v>
      </c>
      <c r="M10" s="203" t="s">
        <v>46</v>
      </c>
      <c r="N10" s="216" t="s">
        <v>382</v>
      </c>
      <c r="O10" s="199" t="s">
        <v>333</v>
      </c>
      <c r="P10" s="103">
        <v>1</v>
      </c>
      <c r="Q10" s="169"/>
      <c r="R10" s="159"/>
      <c r="S10" s="249"/>
      <c r="T10" s="175"/>
      <c r="U10" s="175"/>
      <c r="V10" s="175"/>
      <c r="W10" s="175"/>
      <c r="X10" s="175"/>
      <c r="Y10" s="175"/>
      <c r="Z10" s="250"/>
      <c r="AA10" s="175"/>
      <c r="AB10" s="175"/>
      <c r="AC10" s="175"/>
      <c r="AD10" s="175"/>
      <c r="AE10" s="175"/>
      <c r="AF10" s="175"/>
      <c r="AG10" s="175"/>
      <c r="AH10" s="175"/>
      <c r="AO10" s="81" t="str">
        <f>AO4</f>
        <v>Strength-based drivers</v>
      </c>
      <c r="AP10" s="81">
        <f>AQ4</f>
        <v>3</v>
      </c>
      <c r="AQ10" s="81">
        <f>AR4</f>
        <v>0</v>
      </c>
      <c r="AR10" s="81">
        <f>AP10-AQ10</f>
        <v>3</v>
      </c>
    </row>
    <row r="11" spans="1:50" s="81" customFormat="1" ht="45.75" thickBot="1" x14ac:dyDescent="0.3">
      <c r="A11" s="191"/>
      <c r="B11" s="191" t="s">
        <v>347</v>
      </c>
      <c r="C11" s="201" t="s">
        <v>352</v>
      </c>
      <c r="D11" s="201" t="s">
        <v>47</v>
      </c>
      <c r="E11" s="201" t="s">
        <v>381</v>
      </c>
      <c r="F11" s="198" t="s">
        <v>401</v>
      </c>
      <c r="G11" s="103">
        <v>1</v>
      </c>
      <c r="H11" s="103">
        <f t="shared" si="3"/>
        <v>0</v>
      </c>
      <c r="I11" s="222"/>
      <c r="J11" s="159"/>
      <c r="K11" s="207" t="s">
        <v>373</v>
      </c>
      <c r="L11" s="207" t="s">
        <v>370</v>
      </c>
      <c r="M11" s="208" t="s">
        <v>46</v>
      </c>
      <c r="N11" s="216" t="s">
        <v>382</v>
      </c>
      <c r="O11" s="198" t="s">
        <v>213</v>
      </c>
      <c r="P11" s="103">
        <v>1</v>
      </c>
      <c r="Q11" s="222"/>
      <c r="R11" s="159"/>
      <c r="S11" s="249"/>
      <c r="T11" s="175"/>
      <c r="U11" s="175"/>
      <c r="V11" s="175"/>
      <c r="W11" s="175"/>
      <c r="X11" s="175"/>
      <c r="Y11" s="175"/>
      <c r="Z11" s="250"/>
      <c r="AO11" s="81" t="str">
        <f t="shared" ref="AO11:AO13" si="4">AO5</f>
        <v>Opportunity-based drivers</v>
      </c>
      <c r="AP11" s="81">
        <f t="shared" ref="AP11:AQ13" si="5">AQ5</f>
        <v>6</v>
      </c>
      <c r="AQ11" s="81">
        <f t="shared" si="5"/>
        <v>0</v>
      </c>
      <c r="AR11" s="81">
        <f t="shared" ref="AR11:AR13" si="6">AP11-AQ11</f>
        <v>6</v>
      </c>
    </row>
    <row r="12" spans="1:50" s="81" customFormat="1" ht="45.75" thickBot="1" x14ac:dyDescent="0.3">
      <c r="A12" s="206" t="s">
        <v>195</v>
      </c>
      <c r="B12" s="191" t="s">
        <v>348</v>
      </c>
      <c r="C12" s="234" t="s">
        <v>392</v>
      </c>
      <c r="D12" s="201" t="s">
        <v>47</v>
      </c>
      <c r="E12" s="201" t="s">
        <v>381</v>
      </c>
      <c r="F12" s="198" t="s">
        <v>250</v>
      </c>
      <c r="G12" s="103">
        <v>1</v>
      </c>
      <c r="H12" s="103">
        <f t="shared" si="3"/>
        <v>0</v>
      </c>
      <c r="I12" s="222"/>
      <c r="J12" s="159"/>
      <c r="K12" s="210" t="s">
        <v>374</v>
      </c>
      <c r="L12" s="210" t="s">
        <v>371</v>
      </c>
      <c r="M12" s="211" t="s">
        <v>46</v>
      </c>
      <c r="N12" s="216" t="s">
        <v>382</v>
      </c>
      <c r="O12" s="199" t="s">
        <v>280</v>
      </c>
      <c r="P12" s="103">
        <v>1</v>
      </c>
      <c r="Q12" s="169"/>
      <c r="R12" s="159"/>
      <c r="S12" s="249"/>
      <c r="T12" s="175"/>
      <c r="U12" s="175"/>
      <c r="V12" s="175"/>
      <c r="W12" s="175"/>
      <c r="X12" s="175"/>
      <c r="Y12" s="175"/>
      <c r="Z12" s="250"/>
      <c r="AO12" s="81" t="str">
        <f t="shared" si="4"/>
        <v>Weakness-based drivers</v>
      </c>
      <c r="AP12" s="81">
        <f t="shared" si="5"/>
        <v>10</v>
      </c>
      <c r="AQ12" s="81">
        <f t="shared" si="5"/>
        <v>0</v>
      </c>
      <c r="AR12" s="81">
        <f t="shared" si="6"/>
        <v>10</v>
      </c>
    </row>
    <row r="13" spans="1:50" s="81" customFormat="1" ht="60.75" thickBot="1" x14ac:dyDescent="0.3">
      <c r="A13" s="191" t="s">
        <v>131</v>
      </c>
      <c r="B13" s="191" t="s">
        <v>351</v>
      </c>
      <c r="C13" s="201" t="s">
        <v>395</v>
      </c>
      <c r="D13" s="201" t="s">
        <v>47</v>
      </c>
      <c r="E13" s="201" t="s">
        <v>381</v>
      </c>
      <c r="F13" s="198" t="s">
        <v>268</v>
      </c>
      <c r="G13" s="103">
        <v>1</v>
      </c>
      <c r="H13" s="103">
        <f t="shared" si="3"/>
        <v>0</v>
      </c>
      <c r="I13" s="222"/>
      <c r="J13" s="161"/>
      <c r="K13" s="214" t="s">
        <v>377</v>
      </c>
      <c r="L13" s="245" t="s">
        <v>410</v>
      </c>
      <c r="M13" s="231" t="s">
        <v>46</v>
      </c>
      <c r="N13" s="231" t="s">
        <v>382</v>
      </c>
      <c r="O13" s="243" t="s">
        <v>388</v>
      </c>
      <c r="P13" s="170">
        <v>1</v>
      </c>
      <c r="Q13" s="171"/>
      <c r="R13" s="161"/>
      <c r="S13" s="179"/>
      <c r="T13" s="180"/>
      <c r="U13" s="180"/>
      <c r="V13" s="180"/>
      <c r="W13" s="180"/>
      <c r="X13" s="180"/>
      <c r="Y13" s="180"/>
      <c r="Z13" s="181"/>
      <c r="AO13" s="81" t="str">
        <f t="shared" si="4"/>
        <v>Threat-based drivers</v>
      </c>
      <c r="AP13" s="81">
        <f t="shared" si="5"/>
        <v>1</v>
      </c>
      <c r="AQ13" s="81">
        <f t="shared" si="5"/>
        <v>0</v>
      </c>
      <c r="AR13" s="81">
        <f t="shared" si="6"/>
        <v>1</v>
      </c>
    </row>
    <row r="14" spans="1:50" s="81" customFormat="1" ht="45.75" thickBot="1" x14ac:dyDescent="0.3">
      <c r="A14" s="191" t="s">
        <v>204</v>
      </c>
      <c r="B14" s="191" t="s">
        <v>356</v>
      </c>
      <c r="C14" s="202" t="s">
        <v>359</v>
      </c>
      <c r="D14" s="202" t="s">
        <v>47</v>
      </c>
      <c r="E14" s="202" t="s">
        <v>381</v>
      </c>
      <c r="F14" s="220" t="s">
        <v>396</v>
      </c>
      <c r="G14" s="170">
        <v>1</v>
      </c>
      <c r="H14" s="103">
        <f>IF(I14=$AS$3,1,0)</f>
        <v>0</v>
      </c>
      <c r="I14" s="171"/>
      <c r="J14" s="159"/>
      <c r="K14" s="217" t="s">
        <v>378</v>
      </c>
      <c r="Q14" s="87"/>
      <c r="S14" s="175"/>
      <c r="T14" s="175"/>
      <c r="U14" s="175"/>
      <c r="V14" s="175"/>
      <c r="W14" s="175"/>
      <c r="X14" s="175"/>
      <c r="Y14" s="175"/>
      <c r="Z14" s="175"/>
    </row>
    <row r="15" spans="1:50" s="81" customFormat="1" ht="30.75" thickBot="1" x14ac:dyDescent="0.3">
      <c r="B15" s="194" t="s">
        <v>356</v>
      </c>
      <c r="J15" s="161"/>
      <c r="L15" s="227"/>
      <c r="M15" s="228"/>
      <c r="N15" s="228"/>
      <c r="O15" s="228" t="s">
        <v>409</v>
      </c>
      <c r="P15" s="229">
        <f>SUM(P16:P16)</f>
        <v>1</v>
      </c>
      <c r="Q15" s="230"/>
      <c r="R15" s="161"/>
      <c r="S15" s="175"/>
      <c r="T15" s="175"/>
      <c r="U15" s="175"/>
      <c r="V15" s="175"/>
      <c r="W15" s="175"/>
      <c r="X15" s="175"/>
      <c r="Y15" s="175"/>
      <c r="Z15" s="175"/>
    </row>
    <row r="16" spans="1:50" s="81" customFormat="1" ht="30.75" thickBot="1" x14ac:dyDescent="0.3">
      <c r="A16" s="191" t="s">
        <v>130</v>
      </c>
      <c r="J16" s="159"/>
      <c r="K16" s="227" t="s">
        <v>346</v>
      </c>
      <c r="L16" s="217" t="s">
        <v>424</v>
      </c>
      <c r="M16" s="231" t="s">
        <v>47</v>
      </c>
      <c r="N16" s="218" t="s">
        <v>385</v>
      </c>
      <c r="O16" s="243" t="s">
        <v>384</v>
      </c>
      <c r="P16" s="170">
        <v>1</v>
      </c>
      <c r="Q16" s="171"/>
      <c r="R16" s="159"/>
      <c r="S16" s="87"/>
      <c r="T16" s="87"/>
      <c r="U16" s="87"/>
      <c r="V16" s="87"/>
    </row>
    <row r="17" spans="1:22" s="81" customFormat="1" ht="30.75" thickBot="1" x14ac:dyDescent="0.3">
      <c r="A17" s="191" t="s">
        <v>187</v>
      </c>
      <c r="J17" s="159"/>
      <c r="K17" s="217" t="s">
        <v>357</v>
      </c>
      <c r="R17" s="159"/>
      <c r="S17" s="87"/>
      <c r="T17" s="87"/>
      <c r="U17" s="87"/>
      <c r="V17" s="87"/>
    </row>
    <row r="18" spans="1:22" s="81" customFormat="1" ht="42" customHeight="1" x14ac:dyDescent="0.25">
      <c r="A18" s="193"/>
      <c r="J18" s="160"/>
      <c r="R18" s="160"/>
      <c r="S18" s="87"/>
      <c r="T18" s="87"/>
      <c r="U18" s="87"/>
      <c r="V18" s="87"/>
    </row>
    <row r="19" spans="1:22" s="163" customFormat="1" ht="30" x14ac:dyDescent="0.25">
      <c r="A19" s="191" t="s">
        <v>203</v>
      </c>
      <c r="J19" s="161"/>
      <c r="R19" s="161"/>
      <c r="S19" s="164"/>
      <c r="T19" s="164"/>
      <c r="U19" s="164"/>
      <c r="V19" s="164"/>
    </row>
    <row r="20" spans="1:22" s="163" customFormat="1" ht="30.75" thickBot="1" x14ac:dyDescent="0.3">
      <c r="A20" s="194" t="s">
        <v>202</v>
      </c>
      <c r="B20" s="196"/>
      <c r="C20" s="200"/>
      <c r="D20" s="200"/>
      <c r="E20" s="200"/>
      <c r="J20" s="161"/>
      <c r="K20" s="159"/>
      <c r="L20" s="203"/>
      <c r="M20" s="203"/>
      <c r="N20" s="203"/>
      <c r="R20" s="161"/>
      <c r="S20" s="164"/>
      <c r="T20" s="164"/>
      <c r="U20" s="164"/>
      <c r="V20" s="164"/>
    </row>
    <row r="21" spans="1:22" s="163" customFormat="1" ht="30" x14ac:dyDescent="0.25">
      <c r="A21" s="190" t="s">
        <v>197</v>
      </c>
      <c r="B21" s="197"/>
      <c r="C21" s="200"/>
      <c r="D21" s="200"/>
      <c r="E21" s="200"/>
      <c r="J21" s="161"/>
      <c r="K21" s="161"/>
      <c r="L21" s="205"/>
      <c r="M21" s="205"/>
      <c r="N21" s="205"/>
      <c r="O21" s="161"/>
      <c r="P21" s="161"/>
      <c r="Q21" s="161"/>
      <c r="R21" s="161"/>
      <c r="S21" s="164"/>
      <c r="T21" s="164"/>
      <c r="U21" s="164"/>
      <c r="V21" s="164"/>
    </row>
    <row r="22" spans="1:22" s="163" customFormat="1" ht="18.75" x14ac:dyDescent="0.25">
      <c r="A22" s="165"/>
      <c r="B22" s="196"/>
      <c r="C22" s="200"/>
      <c r="D22" s="200"/>
      <c r="E22" s="200"/>
      <c r="J22" s="160"/>
      <c r="K22" s="160"/>
      <c r="L22" s="160"/>
      <c r="M22" s="160"/>
      <c r="N22" s="160"/>
      <c r="O22" s="160"/>
      <c r="P22" s="160"/>
      <c r="Q22" s="160"/>
      <c r="R22" s="160"/>
      <c r="S22" s="164"/>
      <c r="T22" s="164"/>
      <c r="U22" s="164"/>
      <c r="V22" s="164"/>
    </row>
    <row r="23" spans="1:22" s="163" customFormat="1" ht="30" x14ac:dyDescent="0.25">
      <c r="A23" s="162" t="s">
        <v>141</v>
      </c>
      <c r="B23" s="196"/>
      <c r="C23" s="200"/>
      <c r="D23" s="200"/>
      <c r="E23" s="200"/>
      <c r="J23" s="161"/>
      <c r="K23" s="161"/>
      <c r="L23" s="205"/>
      <c r="M23" s="205"/>
      <c r="N23" s="205"/>
      <c r="O23" s="161"/>
      <c r="P23" s="161"/>
      <c r="Q23" s="161"/>
      <c r="R23" s="161"/>
      <c r="S23" s="164"/>
      <c r="T23" s="164"/>
      <c r="U23" s="164"/>
      <c r="V23" s="164"/>
    </row>
    <row r="24" spans="1:22" s="163" customFormat="1" ht="30" x14ac:dyDescent="0.25">
      <c r="A24" s="162" t="s">
        <v>196</v>
      </c>
      <c r="B24" s="196"/>
      <c r="C24" s="200"/>
      <c r="D24" s="200"/>
      <c r="E24" s="200"/>
      <c r="J24" s="161"/>
      <c r="K24" s="161"/>
      <c r="L24" s="205"/>
      <c r="M24" s="205"/>
      <c r="N24" s="205"/>
      <c r="O24" s="161"/>
      <c r="P24" s="161"/>
      <c r="Q24" s="161"/>
      <c r="R24" s="161"/>
      <c r="S24" s="164"/>
      <c r="T24" s="164"/>
      <c r="U24" s="164"/>
      <c r="V24" s="164"/>
    </row>
    <row r="25" spans="1:22" s="163" customFormat="1" ht="30" x14ac:dyDescent="0.25">
      <c r="A25" s="162" t="s">
        <v>199</v>
      </c>
      <c r="B25" s="196"/>
      <c r="C25" s="200"/>
      <c r="D25" s="200"/>
      <c r="E25" s="200"/>
      <c r="J25" s="161"/>
      <c r="K25" s="161"/>
      <c r="L25" s="205"/>
      <c r="M25" s="205"/>
      <c r="N25" s="205"/>
      <c r="O25" s="161"/>
      <c r="P25" s="161"/>
      <c r="Q25" s="161"/>
      <c r="R25" s="161"/>
      <c r="S25" s="164"/>
      <c r="T25" s="164"/>
      <c r="U25" s="164"/>
      <c r="V25" s="164"/>
    </row>
    <row r="26" spans="1:22" s="163" customFormat="1" ht="30" x14ac:dyDescent="0.25">
      <c r="A26" s="162" t="s">
        <v>141</v>
      </c>
      <c r="B26" s="197"/>
      <c r="C26" s="200"/>
      <c r="D26" s="200"/>
      <c r="E26" s="200"/>
      <c r="J26" s="159"/>
      <c r="K26" s="159"/>
      <c r="L26" s="203"/>
      <c r="M26" s="203"/>
      <c r="N26" s="203"/>
      <c r="O26" s="159"/>
      <c r="P26" s="159"/>
      <c r="Q26" s="159"/>
      <c r="R26" s="159"/>
      <c r="S26" s="164"/>
      <c r="T26" s="164"/>
      <c r="U26" s="164"/>
      <c r="V26" s="164"/>
    </row>
    <row r="27" spans="1:22" s="163" customFormat="1" ht="18.75" x14ac:dyDescent="0.25">
      <c r="A27" s="165"/>
      <c r="B27" s="196"/>
      <c r="C27" s="200"/>
      <c r="D27" s="200"/>
      <c r="E27" s="200"/>
      <c r="J27" s="160"/>
      <c r="K27" s="160"/>
      <c r="L27" s="160"/>
      <c r="M27" s="160"/>
      <c r="N27" s="160"/>
      <c r="O27" s="160"/>
      <c r="P27" s="160"/>
      <c r="Q27" s="160"/>
      <c r="R27" s="160"/>
      <c r="S27" s="164"/>
      <c r="T27" s="164"/>
      <c r="U27" s="164"/>
      <c r="V27" s="164"/>
    </row>
    <row r="28" spans="1:22" s="163" customFormat="1" ht="30" x14ac:dyDescent="0.25">
      <c r="A28" s="162" t="s">
        <v>140</v>
      </c>
      <c r="B28" s="196"/>
      <c r="C28" s="200"/>
      <c r="D28" s="200"/>
      <c r="E28" s="200"/>
      <c r="J28" s="161"/>
      <c r="K28" s="161"/>
      <c r="L28" s="205"/>
      <c r="M28" s="205"/>
      <c r="N28" s="205"/>
      <c r="O28" s="161"/>
      <c r="P28" s="161"/>
      <c r="Q28" s="161"/>
      <c r="R28" s="161"/>
      <c r="S28" s="164"/>
      <c r="T28" s="164"/>
      <c r="U28" s="164"/>
      <c r="V28" s="164"/>
    </row>
    <row r="29" spans="1:22" s="163" customFormat="1" ht="30" x14ac:dyDescent="0.25">
      <c r="A29" s="162" t="s">
        <v>192</v>
      </c>
      <c r="B29" s="196"/>
      <c r="C29" s="200"/>
      <c r="D29" s="200"/>
      <c r="E29" s="200"/>
      <c r="J29" s="161"/>
      <c r="K29" s="161"/>
      <c r="L29" s="205"/>
      <c r="M29" s="205"/>
      <c r="N29" s="205"/>
      <c r="O29" s="161"/>
      <c r="P29" s="161"/>
      <c r="Q29" s="161"/>
      <c r="R29" s="161"/>
      <c r="S29" s="164"/>
      <c r="T29" s="164"/>
      <c r="U29" s="164"/>
      <c r="V29" s="164"/>
    </row>
    <row r="30" spans="1:22" s="163" customFormat="1" ht="30" x14ac:dyDescent="0.25">
      <c r="A30" s="162" t="s">
        <v>193</v>
      </c>
      <c r="B30" s="197"/>
      <c r="C30" s="200"/>
      <c r="D30" s="200"/>
      <c r="E30" s="200"/>
      <c r="J30" s="161"/>
      <c r="K30" s="161"/>
      <c r="L30" s="205"/>
      <c r="M30" s="205"/>
      <c r="N30" s="205"/>
      <c r="O30" s="161"/>
      <c r="P30" s="161"/>
      <c r="Q30" s="161"/>
      <c r="R30" s="161"/>
      <c r="S30" s="164"/>
      <c r="T30" s="164"/>
      <c r="U30" s="164"/>
      <c r="V30" s="164"/>
    </row>
    <row r="31" spans="1:22" s="163" customFormat="1" ht="18.75" x14ac:dyDescent="0.25">
      <c r="A31" s="165"/>
      <c r="B31" s="196"/>
      <c r="C31" s="200"/>
      <c r="D31" s="200"/>
      <c r="E31" s="200"/>
      <c r="J31" s="160"/>
      <c r="K31" s="160"/>
      <c r="L31" s="160"/>
      <c r="M31" s="160"/>
      <c r="N31" s="160"/>
      <c r="O31" s="160"/>
      <c r="P31" s="160"/>
      <c r="Q31" s="160"/>
      <c r="R31" s="160"/>
      <c r="S31" s="164"/>
      <c r="T31" s="164"/>
      <c r="U31" s="164"/>
      <c r="V31" s="164"/>
    </row>
    <row r="32" spans="1:22" s="163" customFormat="1" ht="30" x14ac:dyDescent="0.25">
      <c r="A32" s="162" t="s">
        <v>176</v>
      </c>
      <c r="B32" s="196"/>
      <c r="C32" s="200"/>
      <c r="D32" s="200"/>
      <c r="E32" s="200"/>
      <c r="J32" s="161"/>
      <c r="K32" s="161"/>
      <c r="L32" s="205"/>
      <c r="M32" s="205"/>
      <c r="N32" s="205"/>
      <c r="O32" s="161"/>
      <c r="P32" s="161"/>
      <c r="Q32" s="161"/>
      <c r="R32" s="161"/>
      <c r="S32" s="164"/>
      <c r="T32" s="164"/>
      <c r="U32" s="164"/>
      <c r="V32" s="164"/>
    </row>
    <row r="33" spans="1:22" s="163" customFormat="1" ht="30" x14ac:dyDescent="0.25">
      <c r="A33" s="162" t="s">
        <v>191</v>
      </c>
      <c r="B33" s="196"/>
      <c r="C33" s="200"/>
      <c r="D33" s="200"/>
      <c r="E33" s="200"/>
      <c r="J33" s="161"/>
      <c r="K33" s="161"/>
      <c r="L33" s="205"/>
      <c r="M33" s="205"/>
      <c r="N33" s="205"/>
      <c r="O33" s="161"/>
      <c r="P33" s="161"/>
      <c r="Q33" s="161"/>
      <c r="R33" s="161"/>
      <c r="S33" s="164"/>
      <c r="T33" s="164"/>
      <c r="U33" s="164"/>
      <c r="V33" s="164"/>
    </row>
    <row r="34" spans="1:22" s="163" customFormat="1" ht="30" x14ac:dyDescent="0.25">
      <c r="A34" s="162" t="s">
        <v>200</v>
      </c>
      <c r="B34" s="196"/>
      <c r="C34" s="200"/>
      <c r="D34" s="200"/>
      <c r="E34" s="200"/>
      <c r="J34" s="161"/>
      <c r="K34" s="161"/>
      <c r="L34" s="205"/>
      <c r="M34" s="205"/>
      <c r="N34" s="205"/>
      <c r="O34" s="161"/>
      <c r="P34" s="161"/>
      <c r="Q34" s="161"/>
      <c r="R34" s="161"/>
      <c r="S34" s="164"/>
      <c r="T34" s="164"/>
      <c r="U34" s="164"/>
      <c r="V34" s="164"/>
    </row>
    <row r="35" spans="1:22" s="163" customFormat="1" ht="30.75" thickBot="1" x14ac:dyDescent="0.3">
      <c r="A35" s="166" t="s">
        <v>189</v>
      </c>
      <c r="B35" s="80"/>
      <c r="C35" s="225"/>
      <c r="D35" s="1"/>
      <c r="E35" s="1"/>
      <c r="F35" s="80"/>
      <c r="G35" s="87"/>
      <c r="H35" s="87"/>
      <c r="I35" s="48"/>
      <c r="J35" s="159"/>
      <c r="K35" s="159"/>
      <c r="L35" s="203"/>
      <c r="M35" s="203"/>
      <c r="N35" s="203"/>
      <c r="O35" s="159"/>
      <c r="P35" s="159"/>
      <c r="Q35" s="159"/>
      <c r="R35" s="159"/>
      <c r="S35" s="164"/>
      <c r="T35" s="164"/>
      <c r="U35" s="164"/>
      <c r="V35" s="164"/>
    </row>
  </sheetData>
  <sortState ref="O14:O16">
    <sortCondition ref="O13"/>
  </sortState>
  <mergeCells count="6">
    <mergeCell ref="I1:R1"/>
    <mergeCell ref="B1:F1"/>
    <mergeCell ref="AN7:AN9"/>
    <mergeCell ref="AN4:AN6"/>
    <mergeCell ref="S3:Z3"/>
    <mergeCell ref="S8:Z8"/>
  </mergeCells>
  <conditionalFormatting sqref="J18 J22:R22 J27:R27 J31:R31 J3 P13 J9 R3 R18 Q15">
    <cfRule type="cellIs" dxfId="96" priority="78" operator="equal">
      <formula>#REF!</formula>
    </cfRule>
  </conditionalFormatting>
  <conditionalFormatting sqref="O4:O13">
    <cfRule type="cellIs" dxfId="95" priority="77" operator="equal">
      <formula>#REF!</formula>
    </cfRule>
  </conditionalFormatting>
  <conditionalFormatting sqref="O15 A12 B8:C8 F8:H8">
    <cfRule type="cellIs" dxfId="94" priority="63" operator="equal">
      <formula>#REF!</formula>
    </cfRule>
  </conditionalFormatting>
  <conditionalFormatting sqref="L15:N15">
    <cfRule type="cellIs" dxfId="93" priority="30" operator="equal">
      <formula>#REF!</formula>
    </cfRule>
  </conditionalFormatting>
  <conditionalFormatting sqref="K16">
    <cfRule type="cellIs" dxfId="92" priority="29" operator="equal">
      <formula>#REF!</formula>
    </cfRule>
  </conditionalFormatting>
  <conditionalFormatting sqref="K3:P3 F10:F14">
    <cfRule type="cellIs" dxfId="91" priority="28" operator="equal">
      <formula>#REF!</formula>
    </cfRule>
  </conditionalFormatting>
  <conditionalFormatting sqref="A3:I3">
    <cfRule type="cellIs" dxfId="90" priority="25" operator="equal">
      <formula>#REF!</formula>
    </cfRule>
  </conditionalFormatting>
  <conditionalFormatting sqref="Q3">
    <cfRule type="cellIs" dxfId="89" priority="24" operator="equal">
      <formula>#REF!</formula>
    </cfRule>
  </conditionalFormatting>
  <conditionalFormatting sqref="I8">
    <cfRule type="cellIs" dxfId="88" priority="23" operator="equal">
      <formula>#REF!</formula>
    </cfRule>
  </conditionalFormatting>
  <conditionalFormatting sqref="D8:E8">
    <cfRule type="cellIs" dxfId="87" priority="18" operator="equal">
      <formula>#REF!</formula>
    </cfRule>
  </conditionalFormatting>
  <conditionalFormatting sqref="N16">
    <cfRule type="cellIs" dxfId="86" priority="10" operator="equal">
      <formula>#REF!</formula>
    </cfRule>
  </conditionalFormatting>
  <conditionalFormatting sqref="N16">
    <cfRule type="cellIs" dxfId="85" priority="9" operator="equal">
      <formula>#REF!</formula>
    </cfRule>
  </conditionalFormatting>
  <conditionalFormatting sqref="F4:F5">
    <cfRule type="cellIs" dxfId="84" priority="7" operator="equal">
      <formula>#REF!</formula>
    </cfRule>
  </conditionalFormatting>
  <conditionalFormatting sqref="F6">
    <cfRule type="cellIs" dxfId="83" priority="6" operator="equal">
      <formula>#REF!</formula>
    </cfRule>
  </conditionalFormatting>
  <conditionalFormatting sqref="F9:F10">
    <cfRule type="cellIs" dxfId="82" priority="5" operator="equal">
      <formula>#REF!</formula>
    </cfRule>
  </conditionalFormatting>
  <conditionalFormatting sqref="F14">
    <cfRule type="cellIs" dxfId="81" priority="3" operator="equal">
      <formula>#REF!</formula>
    </cfRule>
  </conditionalFormatting>
  <conditionalFormatting sqref="O16">
    <cfRule type="cellIs" dxfId="80" priority="1" operator="equal">
      <formula>#REF!</formula>
    </cfRule>
  </conditionalFormatting>
  <dataValidations count="4">
    <dataValidation allowBlank="1" showInputMessage="1" showErrorMessage="1" prompt="Please complete" sqref="I1" xr:uid="{7E7F64D7-19E3-4FB4-A81C-0DDAC892DA3D}"/>
    <dataValidation type="list" allowBlank="1" showInputMessage="1" showErrorMessage="1" sqref="J28:R30 P16 J19:J21 P4:P12 J23:R26 J32:R35 R19:R20 J10:J17 K21:R21 J4:J8 R4:R13 R15:R17" xr:uid="{2056A700-7B52-40D1-8A86-9E53617A96AC}">
      <formula1>$AS$3:$AS$5</formula1>
    </dataValidation>
    <dataValidation allowBlank="1" showInputMessage="1" sqref="O15" xr:uid="{74D465FB-A0A1-49C1-B828-6A5751BF06B4}"/>
    <dataValidation type="list" allowBlank="1" showInputMessage="1" showErrorMessage="1" sqref="I4:I6 Q16 Q4:Q13 I9:I14" xr:uid="{363DEC72-F8C6-4BA0-BFCA-1D93B753F8AD}">
      <formula1>$AS$3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leanAssesInstrum">
                <anchor>
                  <from>
                    <xdr:col>20</xdr:col>
                    <xdr:colOff>666750</xdr:colOff>
                    <xdr:row>0</xdr:row>
                    <xdr:rowOff>0</xdr:rowOff>
                  </from>
                  <to>
                    <xdr:col>21</xdr:col>
                    <xdr:colOff>628650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19B41-13F1-4C4F-8B2F-680250D908AB}">
  <sheetPr codeName="Hoja9"/>
  <dimension ref="A1:AF36"/>
  <sheetViews>
    <sheetView topLeftCell="B1" zoomScaleNormal="100" workbookViewId="0">
      <selection activeCell="B13" sqref="B13"/>
    </sheetView>
  </sheetViews>
  <sheetFormatPr baseColWidth="10" defaultRowHeight="15" x14ac:dyDescent="0.25"/>
  <cols>
    <col min="1" max="1" width="12.42578125" hidden="1" customWidth="1"/>
    <col min="2" max="2" width="61.7109375" style="109" customWidth="1"/>
    <col min="3" max="3" width="5.5703125" style="112" hidden="1" customWidth="1"/>
    <col min="4" max="4" width="12.85546875" style="108" customWidth="1"/>
    <col min="5" max="5" width="5.85546875" style="116" customWidth="1"/>
    <col min="6" max="9" width="12.42578125" style="108" customWidth="1"/>
    <col min="10" max="10" width="8.7109375" style="109" customWidth="1"/>
    <col min="11" max="31" width="11.42578125" style="109"/>
    <col min="32" max="32" width="0" style="109" hidden="1" customWidth="1"/>
    <col min="33" max="16384" width="11.42578125" style="109"/>
  </cols>
  <sheetData>
    <row r="1" spans="1:32" ht="24" thickBot="1" x14ac:dyDescent="0.4">
      <c r="B1" s="129" t="s">
        <v>322</v>
      </c>
      <c r="C1" s="130"/>
      <c r="D1" s="271" t="s">
        <v>332</v>
      </c>
      <c r="E1" s="271"/>
      <c r="F1" s="271"/>
      <c r="G1" s="271"/>
      <c r="H1" s="271"/>
      <c r="I1" s="271"/>
      <c r="J1" s="271"/>
    </row>
    <row r="2" spans="1:32" ht="15.75" thickBot="1" x14ac:dyDescent="0.3"/>
    <row r="3" spans="1:32" ht="19.5" thickBot="1" x14ac:dyDescent="0.3">
      <c r="A3" s="265" t="s">
        <v>331</v>
      </c>
      <c r="B3" s="266"/>
      <c r="C3" s="266"/>
      <c r="D3" s="267"/>
      <c r="E3" s="107"/>
      <c r="F3" s="107"/>
      <c r="G3" s="107"/>
      <c r="H3" s="107"/>
    </row>
    <row r="4" spans="1:32" s="101" customFormat="1" ht="32.25" thickBot="1" x14ac:dyDescent="0.3">
      <c r="A4" s="117"/>
      <c r="B4" s="150" t="s">
        <v>267</v>
      </c>
      <c r="C4" s="125">
        <f>SUM(C5:C9)</f>
        <v>5</v>
      </c>
      <c r="D4" s="127" t="s">
        <v>326</v>
      </c>
      <c r="E4" s="110"/>
      <c r="F4" s="268" t="str">
        <f>Data!C4</f>
        <v xml:space="preserve"> -- Alignment with adoption drivers</v>
      </c>
      <c r="G4" s="269"/>
      <c r="H4" s="269"/>
      <c r="I4" s="269"/>
      <c r="J4" s="270"/>
      <c r="K4" s="110"/>
      <c r="AB4" s="47" t="s">
        <v>319</v>
      </c>
      <c r="AC4" s="5" t="s">
        <v>318</v>
      </c>
      <c r="AD4" s="104" t="s">
        <v>315</v>
      </c>
      <c r="AE4" s="47" t="s">
        <v>316</v>
      </c>
      <c r="AF4" s="46" t="s">
        <v>2</v>
      </c>
    </row>
    <row r="5" spans="1:32" s="101" customFormat="1" ht="45" x14ac:dyDescent="0.25">
      <c r="A5" s="118" t="s">
        <v>32</v>
      </c>
      <c r="B5" s="147" t="s">
        <v>314</v>
      </c>
      <c r="C5" s="103">
        <v>1</v>
      </c>
      <c r="D5" s="128"/>
      <c r="E5" s="110"/>
      <c r="F5" s="132"/>
      <c r="G5" s="131"/>
      <c r="H5" s="131"/>
      <c r="I5" s="131"/>
      <c r="J5" s="133"/>
      <c r="K5" s="110"/>
      <c r="AB5" s="5" t="str">
        <f>_xlfn.CONCAT(B4)</f>
        <v>Reuse opportunities</v>
      </c>
      <c r="AC5" s="106">
        <f t="shared" ref="AC5:AC10" si="0">AE5/AD5</f>
        <v>0.4</v>
      </c>
      <c r="AD5" s="46">
        <f>C4</f>
        <v>5</v>
      </c>
      <c r="AE5" s="46">
        <f>IF(D5=AF4,1,0)+IF(D6=AF4,1,0)+IF(D7=AF4,1,0)+IF(D8=AF4,1,0)+IF(D9=AF4,1,0)</f>
        <v>2</v>
      </c>
      <c r="AF5" s="46" t="s">
        <v>0</v>
      </c>
    </row>
    <row r="6" spans="1:32" s="101" customFormat="1" ht="42.75" customHeight="1" x14ac:dyDescent="0.25">
      <c r="A6" s="118" t="s">
        <v>23</v>
      </c>
      <c r="B6" s="148" t="s">
        <v>250</v>
      </c>
      <c r="C6" s="103">
        <v>1</v>
      </c>
      <c r="D6" s="128" t="s">
        <v>2</v>
      </c>
      <c r="E6" s="110"/>
      <c r="F6" s="132"/>
      <c r="G6" s="131"/>
      <c r="H6" s="131"/>
      <c r="I6" s="131"/>
      <c r="J6" s="133"/>
      <c r="K6" s="110"/>
      <c r="AB6" s="5" t="str">
        <f>_xlfn.CONCAT(B10)</f>
        <v>Discomfort - lack of systematic and planned reuse among products</v>
      </c>
      <c r="AC6" s="105">
        <f t="shared" si="0"/>
        <v>0</v>
      </c>
      <c r="AD6" s="46">
        <f>C10</f>
        <v>8</v>
      </c>
      <c r="AE6" s="46">
        <f>IF(D11=AF4,1,0)+IF(D12=AF4,1,0)+IF(D13=AF4,1,0)+IF(D14=AF4,1,0)+IF(D14=AF4,1,0)+IF(D15=AF4,1,0)+IF(D16=AF4,1,0)+IF(D17=AF4,1,0)+IF(D18=AF4,1,0)</f>
        <v>0</v>
      </c>
      <c r="AF6" s="46" t="s">
        <v>317</v>
      </c>
    </row>
    <row r="7" spans="1:32" s="101" customFormat="1" ht="48" customHeight="1" x14ac:dyDescent="0.25">
      <c r="A7" s="118" t="s">
        <v>157</v>
      </c>
      <c r="B7" s="148" t="s">
        <v>268</v>
      </c>
      <c r="C7" s="103">
        <v>1</v>
      </c>
      <c r="D7" s="128"/>
      <c r="E7" s="110"/>
      <c r="F7" s="132"/>
      <c r="G7" s="131"/>
      <c r="H7" s="131"/>
      <c r="I7" s="131"/>
      <c r="J7" s="133"/>
      <c r="K7" s="110"/>
      <c r="AB7" s="5" t="str">
        <f>_xlfn.CONCAT(B19)</f>
        <v>Discomfort - product quality weaknesses</v>
      </c>
      <c r="AC7" s="106">
        <f t="shared" si="0"/>
        <v>0</v>
      </c>
      <c r="AD7" s="46">
        <f>C19</f>
        <v>3</v>
      </c>
      <c r="AE7" s="46">
        <f>IF(D20=AF4,1,0)+IF(D21=AF4,1,0)+IF(D22=AF4,1,0)</f>
        <v>0</v>
      </c>
      <c r="AF7" s="46"/>
    </row>
    <row r="8" spans="1:32" s="101" customFormat="1" ht="30" customHeight="1" thickBot="1" x14ac:dyDescent="0.3">
      <c r="A8" s="118" t="s">
        <v>137</v>
      </c>
      <c r="B8" s="148" t="s">
        <v>251</v>
      </c>
      <c r="C8" s="103">
        <v>1</v>
      </c>
      <c r="D8" s="128" t="s">
        <v>2</v>
      </c>
      <c r="E8" s="110"/>
      <c r="F8" s="134"/>
      <c r="G8" s="135"/>
      <c r="H8" s="135"/>
      <c r="I8" s="135"/>
      <c r="J8" s="136"/>
      <c r="K8" s="110"/>
      <c r="AB8" s="5" t="str">
        <f>_xlfn.CONCAT(B23)</f>
        <v>Discomfort - management problems</v>
      </c>
      <c r="AC8" s="106">
        <f t="shared" si="0"/>
        <v>0</v>
      </c>
      <c r="AD8" s="46">
        <f>C23</f>
        <v>4</v>
      </c>
      <c r="AE8" s="46">
        <f>IF(D24=AF4,1,0)+IF(D25=AF4,1,0)+IF(D26=AF4,1,0)+IF(D27=AF4,1,0)</f>
        <v>0</v>
      </c>
      <c r="AF8" s="46"/>
    </row>
    <row r="9" spans="1:32" s="101" customFormat="1" ht="35.25" customHeight="1" thickBot="1" x14ac:dyDescent="0.3">
      <c r="A9" s="118" t="s">
        <v>138</v>
      </c>
      <c r="B9" s="149" t="s">
        <v>252</v>
      </c>
      <c r="C9" s="103">
        <v>1</v>
      </c>
      <c r="D9" s="128"/>
      <c r="E9" s="110"/>
      <c r="F9" s="137"/>
      <c r="G9" s="137"/>
      <c r="H9" s="137"/>
      <c r="I9" s="137"/>
      <c r="J9" s="137"/>
      <c r="K9" s="110"/>
      <c r="AB9" s="5" t="str">
        <f>_xlfn.CONCAT(B28)</f>
        <v>Organizational challenges</v>
      </c>
      <c r="AC9" s="106">
        <f t="shared" si="0"/>
        <v>0</v>
      </c>
      <c r="AD9" s="46">
        <f>C28</f>
        <v>3</v>
      </c>
      <c r="AE9" s="46">
        <f>IF(D29=AF4,1,0)+IF(D30=AF4,1,0)+IF(D31=AF4,1,0)</f>
        <v>0</v>
      </c>
      <c r="AF9" s="46"/>
    </row>
    <row r="10" spans="1:32" s="101" customFormat="1" ht="37.5" customHeight="1" thickBot="1" x14ac:dyDescent="0.3">
      <c r="A10" s="120"/>
      <c r="B10" s="150" t="s">
        <v>269</v>
      </c>
      <c r="C10" s="125">
        <f>SUM(C11:C18)</f>
        <v>8</v>
      </c>
      <c r="D10" s="126"/>
      <c r="E10" s="110"/>
      <c r="F10" s="131"/>
      <c r="G10" s="131"/>
      <c r="H10" s="131"/>
      <c r="I10" s="131"/>
      <c r="J10" s="131"/>
      <c r="K10" s="110"/>
      <c r="AB10" s="5" t="str">
        <f>_xlfn.CONCAT(B32)</f>
        <v>Organizational opportunities</v>
      </c>
      <c r="AC10" s="106">
        <f t="shared" si="0"/>
        <v>0</v>
      </c>
      <c r="AD10" s="46">
        <f>C32</f>
        <v>4</v>
      </c>
      <c r="AE10" s="46">
        <f>IF(D33=AF4,1,0)+IF(D34=AF4,1,0)+IF(D35=AF4,1,0)+IF(D36=AF4,1,0)</f>
        <v>0</v>
      </c>
      <c r="AF10" s="46"/>
    </row>
    <row r="11" spans="1:32" s="101" customFormat="1" ht="30" x14ac:dyDescent="0.25">
      <c r="A11" s="121" t="s">
        <v>186</v>
      </c>
      <c r="B11" s="151" t="s">
        <v>278</v>
      </c>
      <c r="C11" s="103">
        <v>1</v>
      </c>
      <c r="D11" s="128"/>
      <c r="E11" s="111"/>
      <c r="F11" s="110"/>
      <c r="G11" s="112"/>
      <c r="H11" s="112"/>
      <c r="I11" s="112"/>
      <c r="J11" s="110"/>
      <c r="K11" s="110"/>
    </row>
    <row r="12" spans="1:32" s="101" customFormat="1" ht="30" x14ac:dyDescent="0.25">
      <c r="A12" s="118" t="s">
        <v>208</v>
      </c>
      <c r="B12" s="155" t="s">
        <v>334</v>
      </c>
      <c r="C12" s="103">
        <v>1</v>
      </c>
      <c r="D12" s="128"/>
      <c r="E12" s="111"/>
      <c r="F12" s="112"/>
      <c r="G12" s="112"/>
      <c r="H12" s="112"/>
      <c r="I12" s="112"/>
      <c r="J12" s="110"/>
      <c r="K12" s="110"/>
    </row>
    <row r="13" spans="1:32" s="101" customFormat="1" ht="30" x14ac:dyDescent="0.25">
      <c r="A13" s="118" t="s">
        <v>195</v>
      </c>
      <c r="B13" s="148" t="s">
        <v>279</v>
      </c>
      <c r="C13" s="103">
        <v>1</v>
      </c>
      <c r="D13" s="128"/>
      <c r="E13" s="111"/>
      <c r="F13" s="112"/>
      <c r="G13" s="112"/>
      <c r="H13" s="112"/>
      <c r="I13" s="112"/>
      <c r="J13" s="110"/>
      <c r="K13" s="110"/>
    </row>
    <row r="14" spans="1:32" s="101" customFormat="1" ht="30" x14ac:dyDescent="0.25">
      <c r="A14" s="118" t="s">
        <v>131</v>
      </c>
      <c r="B14" s="148" t="s">
        <v>320</v>
      </c>
      <c r="C14" s="103">
        <v>1</v>
      </c>
      <c r="D14" s="119"/>
      <c r="E14" s="111"/>
      <c r="F14" s="112"/>
      <c r="G14" s="112"/>
      <c r="H14" s="112"/>
      <c r="I14" s="112"/>
      <c r="J14" s="110"/>
      <c r="K14" s="110"/>
    </row>
    <row r="15" spans="1:32" s="101" customFormat="1" ht="30" x14ac:dyDescent="0.25">
      <c r="A15" s="118" t="s">
        <v>204</v>
      </c>
      <c r="B15" s="148" t="s">
        <v>211</v>
      </c>
      <c r="C15" s="103">
        <v>1</v>
      </c>
      <c r="D15" s="128"/>
      <c r="E15" s="111"/>
      <c r="F15" s="112"/>
      <c r="G15" s="112"/>
      <c r="H15" s="112"/>
      <c r="I15" s="112"/>
      <c r="J15" s="110"/>
      <c r="K15" s="110"/>
    </row>
    <row r="16" spans="1:32" s="101" customFormat="1" x14ac:dyDescent="0.25">
      <c r="A16" s="118" t="s">
        <v>129</v>
      </c>
      <c r="B16" s="148" t="s">
        <v>212</v>
      </c>
      <c r="C16" s="103">
        <v>1</v>
      </c>
      <c r="D16" s="119"/>
      <c r="E16" s="111"/>
      <c r="F16" s="112"/>
      <c r="G16" s="112"/>
      <c r="H16" s="112"/>
      <c r="I16" s="112"/>
      <c r="J16" s="110"/>
      <c r="K16" s="110"/>
    </row>
    <row r="17" spans="1:11" s="101" customFormat="1" x14ac:dyDescent="0.25">
      <c r="A17" s="118" t="s">
        <v>130</v>
      </c>
      <c r="B17" s="148" t="s">
        <v>205</v>
      </c>
      <c r="C17" s="103">
        <v>1</v>
      </c>
      <c r="D17" s="128"/>
      <c r="E17" s="111"/>
      <c r="F17" s="112"/>
      <c r="G17" s="112"/>
      <c r="H17" s="112"/>
      <c r="I17" s="112"/>
      <c r="J17" s="110"/>
      <c r="K17" s="110"/>
    </row>
    <row r="18" spans="1:11" s="101" customFormat="1" ht="30.75" thickBot="1" x14ac:dyDescent="0.3">
      <c r="A18" s="118" t="s">
        <v>187</v>
      </c>
      <c r="B18" s="149" t="s">
        <v>277</v>
      </c>
      <c r="C18" s="103">
        <v>1</v>
      </c>
      <c r="D18" s="128"/>
      <c r="E18" s="111"/>
      <c r="F18" s="112"/>
      <c r="G18" s="112"/>
      <c r="H18" s="112"/>
      <c r="I18" s="112"/>
      <c r="J18" s="110"/>
      <c r="K18" s="110"/>
    </row>
    <row r="19" spans="1:11" s="101" customFormat="1" ht="19.5" thickBot="1" x14ac:dyDescent="0.3">
      <c r="A19" s="122"/>
      <c r="B19" s="150" t="s">
        <v>270</v>
      </c>
      <c r="C19" s="125">
        <f>SUM(C20:C22)</f>
        <v>3</v>
      </c>
      <c r="D19" s="126"/>
      <c r="E19" s="111"/>
      <c r="F19" s="112"/>
      <c r="G19" s="112"/>
      <c r="H19" s="112"/>
      <c r="I19" s="112"/>
      <c r="J19" s="110"/>
      <c r="K19" s="110"/>
    </row>
    <row r="20" spans="1:11" s="102" customFormat="1" ht="30" x14ac:dyDescent="0.25">
      <c r="A20" s="118" t="s">
        <v>203</v>
      </c>
      <c r="B20" s="147" t="s">
        <v>213</v>
      </c>
      <c r="C20" s="103">
        <v>1</v>
      </c>
      <c r="D20" s="119"/>
      <c r="E20" s="113"/>
      <c r="F20" s="114"/>
      <c r="G20" s="114"/>
      <c r="H20" s="114"/>
      <c r="I20" s="114"/>
      <c r="J20" s="115"/>
      <c r="K20" s="115"/>
    </row>
    <row r="21" spans="1:11" s="102" customFormat="1" ht="45" x14ac:dyDescent="0.25">
      <c r="A21" s="118" t="s">
        <v>202</v>
      </c>
      <c r="B21" s="148" t="s">
        <v>280</v>
      </c>
      <c r="C21" s="103">
        <v>1</v>
      </c>
      <c r="D21" s="119"/>
      <c r="E21" s="113"/>
      <c r="F21" s="114"/>
      <c r="G21" s="114"/>
      <c r="H21" s="114"/>
      <c r="I21" s="114"/>
      <c r="J21" s="115"/>
      <c r="K21" s="115"/>
    </row>
    <row r="22" spans="1:11" s="102" customFormat="1" ht="15.75" thickBot="1" x14ac:dyDescent="0.3">
      <c r="A22" s="118" t="s">
        <v>197</v>
      </c>
      <c r="B22" s="156" t="s">
        <v>333</v>
      </c>
      <c r="C22" s="103">
        <v>1</v>
      </c>
      <c r="D22" s="119"/>
      <c r="E22" s="113"/>
      <c r="F22" s="114"/>
      <c r="G22" s="114"/>
      <c r="H22" s="114"/>
      <c r="I22" s="114"/>
      <c r="J22" s="115"/>
      <c r="K22" s="115"/>
    </row>
    <row r="23" spans="1:11" s="102" customFormat="1" ht="19.5" thickBot="1" x14ac:dyDescent="0.3">
      <c r="A23" s="122"/>
      <c r="B23" s="150" t="s">
        <v>207</v>
      </c>
      <c r="C23" s="125">
        <f>SUM(C24:C27)</f>
        <v>4</v>
      </c>
      <c r="D23" s="126"/>
      <c r="E23" s="113"/>
      <c r="F23" s="114"/>
      <c r="G23" s="114"/>
      <c r="H23" s="114"/>
      <c r="I23" s="114"/>
      <c r="J23" s="115"/>
      <c r="K23" s="115"/>
    </row>
    <row r="24" spans="1:11" s="102" customFormat="1" ht="30" x14ac:dyDescent="0.25">
      <c r="A24" s="118" t="s">
        <v>141</v>
      </c>
      <c r="B24" s="147" t="s">
        <v>327</v>
      </c>
      <c r="C24" s="103">
        <v>1</v>
      </c>
      <c r="D24" s="119"/>
      <c r="E24" s="113"/>
      <c r="F24" s="114"/>
      <c r="G24" s="114"/>
      <c r="H24" s="114"/>
      <c r="I24" s="114"/>
      <c r="J24" s="115"/>
      <c r="K24" s="115"/>
    </row>
    <row r="25" spans="1:11" s="102" customFormat="1" ht="30" x14ac:dyDescent="0.25">
      <c r="A25" s="118" t="s">
        <v>196</v>
      </c>
      <c r="B25" s="148" t="s">
        <v>328</v>
      </c>
      <c r="C25" s="103">
        <v>1</v>
      </c>
      <c r="D25" s="119"/>
      <c r="E25" s="113"/>
      <c r="F25" s="114"/>
      <c r="G25" s="114"/>
      <c r="H25" s="114"/>
      <c r="I25" s="114"/>
      <c r="J25" s="115"/>
      <c r="K25" s="115"/>
    </row>
    <row r="26" spans="1:11" s="102" customFormat="1" ht="30" x14ac:dyDescent="0.25">
      <c r="A26" s="118" t="s">
        <v>199</v>
      </c>
      <c r="B26" s="148" t="s">
        <v>284</v>
      </c>
      <c r="C26" s="103">
        <v>1</v>
      </c>
      <c r="D26" s="119"/>
      <c r="E26" s="113"/>
      <c r="F26" s="114"/>
      <c r="G26" s="114"/>
      <c r="H26" s="114"/>
      <c r="I26" s="114"/>
      <c r="J26" s="115"/>
      <c r="K26" s="115"/>
    </row>
    <row r="27" spans="1:11" s="102" customFormat="1" ht="15.75" thickBot="1" x14ac:dyDescent="0.3">
      <c r="A27" s="118" t="s">
        <v>141</v>
      </c>
      <c r="B27" s="149" t="s">
        <v>271</v>
      </c>
      <c r="C27" s="103">
        <v>1</v>
      </c>
      <c r="D27" s="128"/>
      <c r="E27" s="113"/>
      <c r="F27" s="114"/>
      <c r="G27" s="114"/>
      <c r="H27" s="114"/>
      <c r="I27" s="114"/>
      <c r="J27" s="115"/>
      <c r="K27" s="115"/>
    </row>
    <row r="28" spans="1:11" s="102" customFormat="1" ht="19.5" thickBot="1" x14ac:dyDescent="0.3">
      <c r="A28" s="122"/>
      <c r="B28" s="150" t="s">
        <v>194</v>
      </c>
      <c r="C28" s="125">
        <f>SUM(C29:C31)</f>
        <v>3</v>
      </c>
      <c r="D28" s="126"/>
      <c r="E28" s="113"/>
      <c r="F28" s="114"/>
      <c r="G28" s="114"/>
      <c r="H28" s="114"/>
      <c r="I28" s="114"/>
      <c r="J28" s="115"/>
      <c r="K28" s="115"/>
    </row>
    <row r="29" spans="1:11" s="102" customFormat="1" x14ac:dyDescent="0.25">
      <c r="A29" s="118" t="s">
        <v>140</v>
      </c>
      <c r="B29" s="147" t="s">
        <v>281</v>
      </c>
      <c r="C29" s="103">
        <v>1</v>
      </c>
      <c r="D29" s="119"/>
      <c r="E29" s="113"/>
      <c r="F29" s="114"/>
      <c r="G29" s="114"/>
      <c r="H29" s="114"/>
      <c r="I29" s="114"/>
      <c r="J29" s="115"/>
      <c r="K29" s="115"/>
    </row>
    <row r="30" spans="1:11" s="102" customFormat="1" ht="30" x14ac:dyDescent="0.25">
      <c r="A30" s="118" t="s">
        <v>192</v>
      </c>
      <c r="B30" s="148" t="s">
        <v>272</v>
      </c>
      <c r="C30" s="103">
        <v>1</v>
      </c>
      <c r="D30" s="119"/>
      <c r="E30" s="113"/>
      <c r="F30" s="114"/>
      <c r="G30" s="114"/>
      <c r="H30" s="114"/>
      <c r="I30" s="114"/>
      <c r="J30" s="115"/>
      <c r="K30" s="115"/>
    </row>
    <row r="31" spans="1:11" s="102" customFormat="1" ht="30.75" thickBot="1" x14ac:dyDescent="0.3">
      <c r="A31" s="118" t="s">
        <v>193</v>
      </c>
      <c r="B31" s="149" t="s">
        <v>273</v>
      </c>
      <c r="C31" s="103">
        <v>1</v>
      </c>
      <c r="D31" s="119"/>
      <c r="E31" s="113"/>
      <c r="F31" s="114"/>
      <c r="G31" s="114"/>
      <c r="H31" s="114"/>
      <c r="I31" s="114"/>
      <c r="J31" s="115"/>
      <c r="K31" s="115"/>
    </row>
    <row r="32" spans="1:11" s="102" customFormat="1" ht="19.5" thickBot="1" x14ac:dyDescent="0.3">
      <c r="A32" s="122"/>
      <c r="B32" s="150" t="s">
        <v>206</v>
      </c>
      <c r="C32" s="125">
        <f>SUM(C33:C36)</f>
        <v>4</v>
      </c>
      <c r="D32" s="126"/>
      <c r="E32" s="113"/>
      <c r="F32" s="114"/>
      <c r="G32" s="114"/>
      <c r="H32" s="114"/>
      <c r="I32" s="114"/>
      <c r="J32" s="115"/>
      <c r="K32" s="115"/>
    </row>
    <row r="33" spans="1:11" s="102" customFormat="1" ht="30" x14ac:dyDescent="0.25">
      <c r="A33" s="118" t="s">
        <v>176</v>
      </c>
      <c r="B33" s="147" t="s">
        <v>285</v>
      </c>
      <c r="C33" s="103">
        <v>1</v>
      </c>
      <c r="D33" s="119"/>
      <c r="E33" s="113"/>
      <c r="F33" s="114"/>
      <c r="G33" s="114"/>
      <c r="H33" s="114"/>
      <c r="I33" s="114"/>
      <c r="J33" s="115"/>
      <c r="K33" s="115"/>
    </row>
    <row r="34" spans="1:11" s="102" customFormat="1" x14ac:dyDescent="0.25">
      <c r="A34" s="118" t="s">
        <v>191</v>
      </c>
      <c r="B34" s="148" t="s">
        <v>214</v>
      </c>
      <c r="C34" s="103">
        <v>1</v>
      </c>
      <c r="D34" s="119"/>
      <c r="E34" s="113"/>
      <c r="F34" s="114"/>
      <c r="G34" s="114"/>
      <c r="H34" s="114"/>
      <c r="I34" s="114"/>
      <c r="J34" s="115"/>
      <c r="K34" s="115"/>
    </row>
    <row r="35" spans="1:11" s="102" customFormat="1" ht="30" x14ac:dyDescent="0.25">
      <c r="A35" s="118" t="s">
        <v>200</v>
      </c>
      <c r="B35" s="148" t="s">
        <v>282</v>
      </c>
      <c r="C35" s="103">
        <v>1</v>
      </c>
      <c r="D35" s="119"/>
      <c r="E35" s="113"/>
      <c r="F35" s="114"/>
      <c r="G35" s="114"/>
      <c r="H35" s="114"/>
      <c r="I35" s="114"/>
      <c r="J35" s="115"/>
      <c r="K35" s="115"/>
    </row>
    <row r="36" spans="1:11" s="102" customFormat="1" ht="30.75" thickBot="1" x14ac:dyDescent="0.3">
      <c r="A36" s="123" t="s">
        <v>189</v>
      </c>
      <c r="B36" s="152" t="s">
        <v>283</v>
      </c>
      <c r="C36" s="124">
        <v>1</v>
      </c>
      <c r="D36" s="138"/>
      <c r="E36" s="113"/>
      <c r="F36" s="114"/>
      <c r="G36" s="114"/>
      <c r="H36" s="114"/>
      <c r="I36" s="114"/>
      <c r="J36" s="115"/>
      <c r="K36" s="115"/>
    </row>
  </sheetData>
  <mergeCells count="3">
    <mergeCell ref="A3:D3"/>
    <mergeCell ref="F4:J4"/>
    <mergeCell ref="D1:J1"/>
  </mergeCells>
  <conditionalFormatting sqref="B29:B31 B4">
    <cfRule type="cellIs" dxfId="79" priority="24" operator="equal">
      <formula>#REF!</formula>
    </cfRule>
  </conditionalFormatting>
  <conditionalFormatting sqref="A10">
    <cfRule type="cellIs" dxfId="78" priority="22" operator="equal">
      <formula>#REF!</formula>
    </cfRule>
  </conditionalFormatting>
  <conditionalFormatting sqref="B23">
    <cfRule type="cellIs" dxfId="77" priority="15" operator="equal">
      <formula>#REF!</formula>
    </cfRule>
  </conditionalFormatting>
  <conditionalFormatting sqref="B19">
    <cfRule type="cellIs" dxfId="76" priority="21" operator="equal">
      <formula>#REF!</formula>
    </cfRule>
  </conditionalFormatting>
  <conditionalFormatting sqref="B28">
    <cfRule type="cellIs" dxfId="75" priority="20" operator="equal">
      <formula>#REF!</formula>
    </cfRule>
  </conditionalFormatting>
  <conditionalFormatting sqref="B32">
    <cfRule type="cellIs" dxfId="74" priority="19" operator="equal">
      <formula>#REF!</formula>
    </cfRule>
  </conditionalFormatting>
  <conditionalFormatting sqref="B5:B9">
    <cfRule type="cellIs" dxfId="73" priority="18" operator="equal">
      <formula>#REF!</formula>
    </cfRule>
  </conditionalFormatting>
  <conditionalFormatting sqref="B11:B18">
    <cfRule type="cellIs" dxfId="72" priority="17" operator="equal">
      <formula>#REF!</formula>
    </cfRule>
  </conditionalFormatting>
  <conditionalFormatting sqref="B20:B22">
    <cfRule type="cellIs" dxfId="71" priority="16" operator="equal">
      <formula>#REF!</formula>
    </cfRule>
  </conditionalFormatting>
  <conditionalFormatting sqref="B24:B27">
    <cfRule type="cellIs" dxfId="70" priority="14" operator="equal">
      <formula>#REF!</formula>
    </cfRule>
  </conditionalFormatting>
  <conditionalFormatting sqref="B33:B36">
    <cfRule type="cellIs" dxfId="69" priority="13" operator="equal">
      <formula>#REF!</formula>
    </cfRule>
  </conditionalFormatting>
  <conditionalFormatting sqref="D4">
    <cfRule type="cellIs" dxfId="68" priority="8" operator="equal">
      <formula>#REF!</formula>
    </cfRule>
  </conditionalFormatting>
  <conditionalFormatting sqref="A4">
    <cfRule type="cellIs" dxfId="67" priority="7" operator="equal">
      <formula>#REF!</formula>
    </cfRule>
  </conditionalFormatting>
  <conditionalFormatting sqref="B10">
    <cfRule type="cellIs" dxfId="66" priority="6" operator="equal">
      <formula>#REF!</formula>
    </cfRule>
  </conditionalFormatting>
  <conditionalFormatting sqref="D10">
    <cfRule type="cellIs" dxfId="65" priority="5" operator="equal">
      <formula>#REF!</formula>
    </cfRule>
  </conditionalFormatting>
  <conditionalFormatting sqref="D19">
    <cfRule type="cellIs" dxfId="64" priority="4" operator="equal">
      <formula>#REF!</formula>
    </cfRule>
  </conditionalFormatting>
  <conditionalFormatting sqref="D23">
    <cfRule type="cellIs" dxfId="63" priority="3" operator="equal">
      <formula>#REF!</formula>
    </cfRule>
  </conditionalFormatting>
  <conditionalFormatting sqref="D28">
    <cfRule type="cellIs" dxfId="62" priority="2" operator="equal">
      <formula>#REF!</formula>
    </cfRule>
  </conditionalFormatting>
  <conditionalFormatting sqref="D32">
    <cfRule type="cellIs" dxfId="61" priority="1" operator="equal">
      <formula>#REF!</formula>
    </cfRule>
  </conditionalFormatting>
  <dataValidations count="2">
    <dataValidation type="list" allowBlank="1" showInputMessage="1" showErrorMessage="1" sqref="D5:D9 D29:D31 D33:D36 D20:D22 D24:D27 D11:D18" xr:uid="{2D31D355-08DE-4164-A894-31412CB7488A}">
      <formula1>$AF$4:$AF$6</formula1>
    </dataValidation>
    <dataValidation allowBlank="1" showInputMessage="1" showErrorMessage="1" prompt="Please complete" sqref="D1" xr:uid="{64519B0D-4F9A-43B4-874D-5DBBAD2C51C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CleanAssesInstrum">
                <anchor>
                  <from>
                    <xdr:col>6</xdr:col>
                    <xdr:colOff>485775</xdr:colOff>
                    <xdr:row>1</xdr:row>
                    <xdr:rowOff>161925</xdr:rowOff>
                  </from>
                  <to>
                    <xdr:col>7</xdr:col>
                    <xdr:colOff>447675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41EA7-D338-42DD-BE0B-B0EE845FC1D3}">
  <sheetPr codeName="Hoja2"/>
  <dimension ref="A1:AD97"/>
  <sheetViews>
    <sheetView tabSelected="1" zoomScaleNormal="100" workbookViewId="0">
      <pane xSplit="10" ySplit="3" topLeftCell="K4" activePane="bottomRight" state="frozen"/>
      <selection pane="topRight" activeCell="G1" sqref="G1"/>
      <selection pane="bottomLeft" activeCell="A5" sqref="A5"/>
      <selection pane="bottomRight" activeCell="A4" sqref="A4:Z4"/>
    </sheetView>
  </sheetViews>
  <sheetFormatPr baseColWidth="10" defaultRowHeight="21" outlineLevelRow="2" outlineLevelCol="1" x14ac:dyDescent="0.25"/>
  <cols>
    <col min="1" max="1" width="9.5703125" style="83" customWidth="1"/>
    <col min="2" max="2" width="16.28515625" style="84" hidden="1" customWidth="1"/>
    <col min="3" max="3" width="8.5703125" style="84" hidden="1" customWidth="1"/>
    <col min="4" max="4" width="35" style="85" customWidth="1"/>
    <col min="5" max="5" width="10.28515625" style="85" customWidth="1"/>
    <col min="6" max="7" width="12.42578125" style="86" hidden="1" customWidth="1" outlineLevel="1"/>
    <col min="8" max="8" width="7.42578125" style="87" hidden="1" customWidth="1" outlineLevel="1"/>
    <col min="9" max="9" width="13.28515625" style="87" hidden="1" customWidth="1" outlineLevel="1"/>
    <col min="10" max="10" width="9.140625" style="87" hidden="1" customWidth="1" outlineLevel="1"/>
    <col min="11" max="11" width="15" style="88" customWidth="1" collapsed="1"/>
    <col min="12" max="15" width="20.28515625" style="88" hidden="1" customWidth="1"/>
    <col min="16" max="16" width="13.85546875" style="87" hidden="1" customWidth="1"/>
    <col min="17" max="17" width="0.42578125" style="87" customWidth="1"/>
    <col min="18" max="18" width="11" style="89" customWidth="1"/>
    <col min="19" max="19" width="10.7109375" style="89" customWidth="1"/>
    <col min="20" max="21" width="14.28515625" style="89" hidden="1" customWidth="1"/>
    <col min="22" max="22" width="16.5703125" style="89" customWidth="1"/>
    <col min="23" max="23" width="14.28515625" style="89" hidden="1" customWidth="1"/>
    <col min="24" max="24" width="9.28515625" style="90" customWidth="1"/>
    <col min="25" max="25" width="16.140625" style="95" hidden="1" customWidth="1" outlineLevel="1"/>
    <col min="26" max="26" width="18.140625" style="96" hidden="1" customWidth="1" outlineLevel="1"/>
    <col min="27" max="27" width="16.7109375" style="80" hidden="1" customWidth="1" collapsed="1"/>
    <col min="28" max="16384" width="11.42578125" style="80"/>
  </cols>
  <sheetData>
    <row r="1" spans="1:29" ht="19.5" customHeight="1" x14ac:dyDescent="0.25">
      <c r="A1" s="282" t="s">
        <v>421</v>
      </c>
      <c r="B1" s="283"/>
      <c r="C1" s="283"/>
      <c r="D1" s="283"/>
      <c r="E1" s="287" t="s">
        <v>417</v>
      </c>
      <c r="F1" s="291" t="s">
        <v>418</v>
      </c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89" t="s">
        <v>51</v>
      </c>
      <c r="S1" s="289"/>
      <c r="T1" s="289"/>
      <c r="U1" s="289"/>
      <c r="V1" s="289"/>
      <c r="W1" s="289"/>
      <c r="X1" s="289"/>
      <c r="Y1" s="289"/>
      <c r="Z1" s="307"/>
      <c r="AA1" s="59" t="s">
        <v>37</v>
      </c>
    </row>
    <row r="2" spans="1:29" ht="12.75" customHeight="1" x14ac:dyDescent="0.25">
      <c r="A2" s="284"/>
      <c r="B2" s="285"/>
      <c r="C2" s="285"/>
      <c r="D2" s="285"/>
      <c r="E2" s="288"/>
      <c r="F2" s="293" t="s">
        <v>12</v>
      </c>
      <c r="G2" s="293"/>
      <c r="H2" s="293"/>
      <c r="I2" s="293"/>
      <c r="J2" s="293"/>
      <c r="K2" s="295" t="s">
        <v>305</v>
      </c>
      <c r="L2" s="295"/>
      <c r="M2" s="293"/>
      <c r="N2" s="293"/>
      <c r="O2" s="293"/>
      <c r="P2" s="294"/>
      <c r="Q2" s="60" t="s">
        <v>14</v>
      </c>
      <c r="R2" s="275" t="s">
        <v>60</v>
      </c>
      <c r="S2" s="79" t="s">
        <v>3</v>
      </c>
      <c r="T2" s="79"/>
      <c r="U2" s="256"/>
      <c r="V2" s="290" t="s">
        <v>313</v>
      </c>
      <c r="W2" s="290"/>
      <c r="X2" s="290"/>
      <c r="Y2" s="61" t="s">
        <v>12</v>
      </c>
      <c r="Z2" s="308" t="s">
        <v>15</v>
      </c>
      <c r="AA2" s="97" t="s">
        <v>313</v>
      </c>
    </row>
    <row r="3" spans="1:29" ht="33.75" customHeight="1" x14ac:dyDescent="0.25">
      <c r="A3" s="284"/>
      <c r="B3" s="285"/>
      <c r="C3" s="285"/>
      <c r="D3" s="285"/>
      <c r="E3" s="288"/>
      <c r="F3" s="57" t="s">
        <v>39</v>
      </c>
      <c r="G3" s="58" t="s">
        <v>40</v>
      </c>
      <c r="H3" s="58" t="s">
        <v>43</v>
      </c>
      <c r="I3" s="58" t="s">
        <v>44</v>
      </c>
      <c r="J3" s="57" t="s">
        <v>41</v>
      </c>
      <c r="K3" s="62" t="s">
        <v>13</v>
      </c>
      <c r="L3" s="63" t="s">
        <v>49</v>
      </c>
      <c r="M3" s="57" t="s">
        <v>48</v>
      </c>
      <c r="N3" s="58" t="s">
        <v>303</v>
      </c>
      <c r="O3" s="58" t="s">
        <v>45</v>
      </c>
      <c r="P3" s="58" t="s">
        <v>312</v>
      </c>
      <c r="Q3" s="60" t="s">
        <v>308</v>
      </c>
      <c r="R3" s="275"/>
      <c r="S3" s="154" t="s">
        <v>329</v>
      </c>
      <c r="T3" s="185" t="s">
        <v>339</v>
      </c>
      <c r="U3" s="185" t="s">
        <v>341</v>
      </c>
      <c r="V3" s="157" t="s">
        <v>423</v>
      </c>
      <c r="W3" s="153" t="s">
        <v>330</v>
      </c>
      <c r="X3" s="157" t="s">
        <v>307</v>
      </c>
      <c r="Y3" s="157" t="s">
        <v>310</v>
      </c>
      <c r="Z3" s="308" t="s">
        <v>311</v>
      </c>
      <c r="AA3" s="64" t="s">
        <v>309</v>
      </c>
    </row>
    <row r="4" spans="1:29" ht="29.25" x14ac:dyDescent="0.25">
      <c r="A4" s="280" t="str">
        <f>Data!C10</f>
        <v>Operational</v>
      </c>
      <c r="B4" s="281"/>
      <c r="C4" s="281"/>
      <c r="D4" s="281"/>
      <c r="E4" s="281"/>
      <c r="F4" s="281"/>
      <c r="G4" s="281"/>
      <c r="H4" s="281"/>
      <c r="I4" s="281"/>
      <c r="J4" s="281"/>
      <c r="K4" s="281"/>
      <c r="L4" s="281"/>
      <c r="M4" s="281"/>
      <c r="N4" s="281"/>
      <c r="O4" s="281"/>
      <c r="P4" s="281"/>
      <c r="Q4" s="281"/>
      <c r="R4" s="281"/>
      <c r="S4" s="281"/>
      <c r="T4" s="281"/>
      <c r="U4" s="281"/>
      <c r="V4" s="281"/>
      <c r="W4" s="281"/>
      <c r="X4" s="281"/>
      <c r="Y4" s="281"/>
      <c r="Z4" s="309"/>
      <c r="AA4" s="98">
        <f>SUM(Z5+Z8+Z13+Z17+Z25+Z32+Z36+Z41+Z45+Z50)</f>
        <v>0.11538461538461539</v>
      </c>
    </row>
    <row r="5" spans="1:29" s="81" customFormat="1" outlineLevel="1" x14ac:dyDescent="0.25">
      <c r="A5" s="65" t="s">
        <v>46</v>
      </c>
      <c r="B5" s="253" t="s">
        <v>337</v>
      </c>
      <c r="C5" s="52"/>
      <c r="D5" s="157" t="s">
        <v>120</v>
      </c>
      <c r="E5" s="142">
        <f>IF(W5&gt;0,COUNTBLANK(statAnswCom),0)</f>
        <v>2</v>
      </c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7">
        <v>3</v>
      </c>
      <c r="S5" s="66"/>
      <c r="T5" s="186">
        <f>IF(S5=" ",R5,AVERAGE(R5:S5))</f>
        <v>3</v>
      </c>
      <c r="U5" s="175">
        <f>IF(T5&gt;=3,3,IF(T5&gt;=2,2,IF(T5&gt;=1,1,IF(T5&gt;=0,0))))</f>
        <v>3</v>
      </c>
      <c r="V5" s="67" t="str">
        <f>IF(T5&gt;=3,Data!$A$10,IF(T5&gt;=2,Data!$A$11,IF(T5&gt;=1,Data!$A$12,IF(T5&gt;=0,Data!$A$13))))</f>
        <v>Very important</v>
      </c>
      <c r="W5" s="67">
        <f>AVERAGE(R5:S5)</f>
        <v>3</v>
      </c>
      <c r="X5" s="68">
        <f>IF(V5=Data!$A$13,Data!$A$13,SUM(statComm))</f>
        <v>0</v>
      </c>
      <c r="Y5" s="69">
        <f>W5/SUM(ImporOper)</f>
        <v>0.11538461538461539</v>
      </c>
      <c r="Z5" s="310">
        <f>X5*Y5</f>
        <v>0</v>
      </c>
      <c r="AA5" s="279"/>
    </row>
    <row r="6" spans="1:29" ht="47.25" outlineLevel="2" x14ac:dyDescent="0.25">
      <c r="A6" s="311" t="s">
        <v>46</v>
      </c>
      <c r="B6" s="52" t="s">
        <v>119</v>
      </c>
      <c r="C6" s="52">
        <v>31</v>
      </c>
      <c r="D6" s="53" t="s">
        <v>245</v>
      </c>
      <c r="E6" s="140"/>
      <c r="F6" s="54">
        <v>5</v>
      </c>
      <c r="G6" s="55">
        <v>4</v>
      </c>
      <c r="H6" s="55">
        <v>3</v>
      </c>
      <c r="I6" s="55">
        <v>2</v>
      </c>
      <c r="J6" s="56">
        <v>1</v>
      </c>
      <c r="K6" s="66"/>
      <c r="L6" s="66"/>
      <c r="M6" s="55">
        <v>2</v>
      </c>
      <c r="N6" s="55">
        <f>IF(L6=" ",M6,AVERAGE(M6,L6))</f>
        <v>2</v>
      </c>
      <c r="O6" s="55">
        <f>N6/SUM(impSComm)</f>
        <v>0.5</v>
      </c>
      <c r="P6" s="56">
        <f>IF($K6=$F$3,5,IF($K6=$G$3,4,IF($K6=$H$3,3,IF($K6=$J$3,1,IF($K6=$I$3,2,0)))))</f>
        <v>0</v>
      </c>
      <c r="Q6" s="50">
        <f>P6*O6</f>
        <v>0</v>
      </c>
      <c r="R6" s="296"/>
      <c r="S6" s="296"/>
      <c r="T6" s="296"/>
      <c r="U6" s="296"/>
      <c r="V6" s="296"/>
      <c r="W6" s="296"/>
      <c r="X6" s="296"/>
      <c r="Y6" s="296"/>
      <c r="Z6" s="312"/>
      <c r="AA6" s="279"/>
      <c r="AC6" s="82"/>
    </row>
    <row r="7" spans="1:29" ht="47.25" outlineLevel="2" x14ac:dyDescent="0.25">
      <c r="A7" s="311" t="s">
        <v>46</v>
      </c>
      <c r="B7" s="52" t="s">
        <v>147</v>
      </c>
      <c r="C7" s="52">
        <v>32</v>
      </c>
      <c r="D7" s="53" t="s">
        <v>246</v>
      </c>
      <c r="E7" s="140"/>
      <c r="F7" s="54">
        <v>5</v>
      </c>
      <c r="G7" s="55">
        <v>4</v>
      </c>
      <c r="H7" s="55">
        <v>3</v>
      </c>
      <c r="I7" s="55">
        <v>2</v>
      </c>
      <c r="J7" s="56">
        <v>1</v>
      </c>
      <c r="K7" s="66"/>
      <c r="L7" s="66"/>
      <c r="M7" s="55">
        <v>2</v>
      </c>
      <c r="N7" s="55">
        <f>IF(L7=" ",M7,AVERAGE(M7,L7))</f>
        <v>2</v>
      </c>
      <c r="O7" s="55">
        <f>N7/SUM(impSComm)</f>
        <v>0.5</v>
      </c>
      <c r="P7" s="56">
        <f>IF($K7=$F$3,5,IF($K7=$G$3,4,IF($K7=$H$3,3,IF($K7=$J$3,1,IF($K7=$I$3,2,0)))))</f>
        <v>0</v>
      </c>
      <c r="Q7" s="50">
        <f>P7*O7</f>
        <v>0</v>
      </c>
      <c r="R7" s="296"/>
      <c r="S7" s="296"/>
      <c r="T7" s="296"/>
      <c r="U7" s="296"/>
      <c r="V7" s="296"/>
      <c r="W7" s="296"/>
      <c r="X7" s="296"/>
      <c r="Y7" s="296"/>
      <c r="Z7" s="312"/>
      <c r="AA7" s="279"/>
    </row>
    <row r="8" spans="1:29" s="81" customFormat="1" outlineLevel="1" x14ac:dyDescent="0.25">
      <c r="A8" s="65" t="s">
        <v>46</v>
      </c>
      <c r="B8" s="253" t="s">
        <v>337</v>
      </c>
      <c r="C8" s="157"/>
      <c r="D8" s="157" t="s">
        <v>420</v>
      </c>
      <c r="E8" s="142">
        <f>IF(V8=Data!$A$13,0,COUNTBLANK(statAnswCust))</f>
        <v>4</v>
      </c>
      <c r="F8" s="255"/>
      <c r="G8" s="255"/>
      <c r="H8" s="255"/>
      <c r="I8" s="255"/>
      <c r="J8" s="255"/>
      <c r="K8" s="255"/>
      <c r="L8" s="255"/>
      <c r="M8" s="255"/>
      <c r="N8" s="255"/>
      <c r="O8" s="255"/>
      <c r="P8" s="255"/>
      <c r="Q8" s="255"/>
      <c r="R8" s="257">
        <v>2</v>
      </c>
      <c r="S8" s="66"/>
      <c r="T8" s="186">
        <f>IF(S8=" ",R8,AVERAGE(R8:S8))</f>
        <v>2</v>
      </c>
      <c r="U8" s="175">
        <f>IF(T8&gt;=3,3,IF(T8&gt;=2,2,IF(T8&gt;=1,1,IF(T8&gt;=0,0))))</f>
        <v>2</v>
      </c>
      <c r="V8" s="67" t="str">
        <f>IF(T8&gt;=3,Data!$A$10,IF(T8&gt;=2,Data!$A$11,IF(T8&gt;=1,Data!$A$12,IF(T8&gt;=0,Data!$A$13))))</f>
        <v>Important</v>
      </c>
      <c r="W8" s="67">
        <f>AVERAGE(R8:S8)</f>
        <v>2</v>
      </c>
      <c r="X8" s="68">
        <f>IF(V8=Data!$A$13,Data!$A$13,SUM(statCust))</f>
        <v>0</v>
      </c>
      <c r="Y8" s="69">
        <f>W8/SUM(ImporOper)</f>
        <v>7.6923076923076927E-2</v>
      </c>
      <c r="Z8" s="310">
        <f>X8*Y8</f>
        <v>0</v>
      </c>
      <c r="AA8" s="279"/>
    </row>
    <row r="9" spans="1:29" ht="47.25" outlineLevel="2" x14ac:dyDescent="0.25">
      <c r="A9" s="311" t="s">
        <v>46</v>
      </c>
      <c r="B9" s="52" t="s">
        <v>20</v>
      </c>
      <c r="C9" s="52">
        <v>10</v>
      </c>
      <c r="D9" s="53" t="s">
        <v>229</v>
      </c>
      <c r="E9" s="140"/>
      <c r="F9" s="54">
        <v>5</v>
      </c>
      <c r="G9" s="55">
        <v>4</v>
      </c>
      <c r="H9" s="55">
        <v>3</v>
      </c>
      <c r="I9" s="55">
        <v>2</v>
      </c>
      <c r="J9" s="56">
        <v>1</v>
      </c>
      <c r="K9" s="66"/>
      <c r="L9" s="66"/>
      <c r="M9" s="55">
        <v>2</v>
      </c>
      <c r="N9" s="55">
        <f>IF(L9=" ",M9,AVERAGE(M9,L9))</f>
        <v>2</v>
      </c>
      <c r="O9" s="55">
        <f>N9/SUM(impSCust)</f>
        <v>0.25</v>
      </c>
      <c r="P9" s="56">
        <f>IF($K9=$F$3,5,IF($K9=$G$3,4,IF($K9=$H$3,3,IF($K9=$J$3,1,IF($K9=$I$3,2,0)))))</f>
        <v>0</v>
      </c>
      <c r="Q9" s="70">
        <f>P9*O9</f>
        <v>0</v>
      </c>
      <c r="R9" s="296"/>
      <c r="S9" s="296"/>
      <c r="T9" s="296"/>
      <c r="U9" s="296"/>
      <c r="V9" s="296"/>
      <c r="W9" s="296"/>
      <c r="X9" s="296"/>
      <c r="Y9" s="296"/>
      <c r="Z9" s="312"/>
      <c r="AA9" s="279"/>
    </row>
    <row r="10" spans="1:29" ht="31.5" outlineLevel="2" x14ac:dyDescent="0.25">
      <c r="A10" s="311" t="s">
        <v>46</v>
      </c>
      <c r="B10" s="52" t="s">
        <v>21</v>
      </c>
      <c r="C10" s="52">
        <v>11</v>
      </c>
      <c r="D10" s="53" t="s">
        <v>230</v>
      </c>
      <c r="E10" s="140"/>
      <c r="F10" s="54">
        <v>5</v>
      </c>
      <c r="G10" s="55">
        <v>4</v>
      </c>
      <c r="H10" s="55">
        <v>3</v>
      </c>
      <c r="I10" s="55">
        <v>2</v>
      </c>
      <c r="J10" s="56">
        <v>1</v>
      </c>
      <c r="K10" s="66"/>
      <c r="L10" s="66"/>
      <c r="M10" s="55">
        <v>2</v>
      </c>
      <c r="N10" s="55">
        <f>IF(L10=" ",M10,AVERAGE(M10,L10))</f>
        <v>2</v>
      </c>
      <c r="O10" s="55">
        <f>N10/SUM(impSCust)</f>
        <v>0.25</v>
      </c>
      <c r="P10" s="56">
        <f>IF($K10=$F$3,5,IF($K10=$G$3,4,IF($K10=$H$3,3,IF($K10=$J$3,1,IF($K10=$I$3,2,0)))))</f>
        <v>0</v>
      </c>
      <c r="Q10" s="50">
        <f>P10*O10</f>
        <v>0</v>
      </c>
      <c r="R10" s="296"/>
      <c r="S10" s="296"/>
      <c r="T10" s="296"/>
      <c r="U10" s="296"/>
      <c r="V10" s="296"/>
      <c r="W10" s="296"/>
      <c r="X10" s="296"/>
      <c r="Y10" s="296"/>
      <c r="Z10" s="312"/>
      <c r="AA10" s="279"/>
    </row>
    <row r="11" spans="1:29" ht="31.5" outlineLevel="2" x14ac:dyDescent="0.25">
      <c r="A11" s="311" t="s">
        <v>46</v>
      </c>
      <c r="B11" s="52" t="s">
        <v>22</v>
      </c>
      <c r="C11" s="52">
        <v>12</v>
      </c>
      <c r="D11" s="53" t="s">
        <v>169</v>
      </c>
      <c r="E11" s="140"/>
      <c r="F11" s="54">
        <v>5</v>
      </c>
      <c r="G11" s="55">
        <v>4</v>
      </c>
      <c r="H11" s="55">
        <v>3</v>
      </c>
      <c r="I11" s="55">
        <v>2</v>
      </c>
      <c r="J11" s="56">
        <v>1</v>
      </c>
      <c r="K11" s="66"/>
      <c r="L11" s="66"/>
      <c r="M11" s="55">
        <v>2</v>
      </c>
      <c r="N11" s="55">
        <f>IF(L11=" ",M11,AVERAGE(M11,L11))</f>
        <v>2</v>
      </c>
      <c r="O11" s="55">
        <f>N11/SUM(impSCust)</f>
        <v>0.25</v>
      </c>
      <c r="P11" s="56">
        <f>IF($K11=$F$3,5,IF($K11=$G$3,4,IF($K11=$H$3,3,IF($K11=$J$3,1,IF($K11=$I$3,2,0)))))</f>
        <v>0</v>
      </c>
      <c r="Q11" s="50">
        <f>P11*O11</f>
        <v>0</v>
      </c>
      <c r="R11" s="296"/>
      <c r="S11" s="296"/>
      <c r="T11" s="296"/>
      <c r="U11" s="296"/>
      <c r="V11" s="296"/>
      <c r="W11" s="296"/>
      <c r="X11" s="296"/>
      <c r="Y11" s="296"/>
      <c r="Z11" s="312"/>
      <c r="AA11" s="279"/>
    </row>
    <row r="12" spans="1:29" ht="18.75" outlineLevel="2" x14ac:dyDescent="0.25">
      <c r="A12" s="311" t="s">
        <v>46</v>
      </c>
      <c r="B12" s="52" t="s">
        <v>117</v>
      </c>
      <c r="C12" s="52">
        <v>13</v>
      </c>
      <c r="D12" s="53" t="s">
        <v>231</v>
      </c>
      <c r="E12" s="140"/>
      <c r="F12" s="54">
        <v>5</v>
      </c>
      <c r="G12" s="55">
        <v>4</v>
      </c>
      <c r="H12" s="55">
        <v>3</v>
      </c>
      <c r="I12" s="55">
        <v>2</v>
      </c>
      <c r="J12" s="56">
        <v>1</v>
      </c>
      <c r="K12" s="66"/>
      <c r="L12" s="66"/>
      <c r="M12" s="55">
        <v>2</v>
      </c>
      <c r="N12" s="55">
        <f>IF(L12=" ",M12,AVERAGE(M12,L12))</f>
        <v>2</v>
      </c>
      <c r="O12" s="55">
        <f>N12/SUM(impSCust)</f>
        <v>0.25</v>
      </c>
      <c r="P12" s="56">
        <f>IF($K12=$F$3,5,IF($K12=$G$3,4,IF($K12=$H$3,3,IF($K12=$J$3,1,IF($K12=$I$3,2,0)))))</f>
        <v>0</v>
      </c>
      <c r="Q12" s="50">
        <f>P12*O12</f>
        <v>0</v>
      </c>
      <c r="R12" s="296"/>
      <c r="S12" s="296"/>
      <c r="T12" s="296"/>
      <c r="U12" s="296"/>
      <c r="V12" s="296"/>
      <c r="W12" s="296"/>
      <c r="X12" s="296"/>
      <c r="Y12" s="296"/>
      <c r="Z12" s="312"/>
      <c r="AA12" s="279"/>
    </row>
    <row r="13" spans="1:29" ht="31.5" outlineLevel="1" x14ac:dyDescent="0.25">
      <c r="A13" s="65" t="s">
        <v>46</v>
      </c>
      <c r="B13" s="253" t="s">
        <v>337</v>
      </c>
      <c r="C13" s="157"/>
      <c r="D13" s="157" t="s">
        <v>304</v>
      </c>
      <c r="E13" s="142">
        <f>COUNTBLANK(statAnswContr)</f>
        <v>3</v>
      </c>
      <c r="F13" s="255"/>
      <c r="G13" s="255"/>
      <c r="H13" s="255"/>
      <c r="I13" s="255"/>
      <c r="J13" s="255"/>
      <c r="K13" s="255"/>
      <c r="L13" s="255"/>
      <c r="M13" s="255"/>
      <c r="N13" s="255"/>
      <c r="O13" s="255"/>
      <c r="P13" s="255"/>
      <c r="Q13" s="255"/>
      <c r="R13" s="257">
        <v>2</v>
      </c>
      <c r="S13" s="66"/>
      <c r="T13" s="186">
        <f>IF(S13=" ",R13,AVERAGE(R13:S13))</f>
        <v>2</v>
      </c>
      <c r="U13" s="175">
        <f>IF(T13&gt;=3,3,IF(T13&gt;=2,2,IF(T13&gt;=1,1,IF(T13&gt;=0,0))))</f>
        <v>2</v>
      </c>
      <c r="V13" s="67" t="str">
        <f>IF(T13&gt;=3,Data!$A$10,IF(T13&gt;=2,Data!$A$11,IF(T13&gt;=1,Data!$A$12,IF(T13&gt;=0,Data!$A$13))))</f>
        <v>Important</v>
      </c>
      <c r="W13" s="67">
        <f>AVERAGE(R13:S13)</f>
        <v>2</v>
      </c>
      <c r="X13" s="68">
        <f>IF(V13=Data!$A$13,Data!$A$13,SUM(statDegree))</f>
        <v>0</v>
      </c>
      <c r="Y13" s="69">
        <f>W13/SUM(ImporOper)</f>
        <v>7.6923076923076927E-2</v>
      </c>
      <c r="Z13" s="310">
        <f>X13*Y13</f>
        <v>0</v>
      </c>
      <c r="AA13" s="279"/>
    </row>
    <row r="14" spans="1:29" ht="78.75" outlineLevel="2" x14ac:dyDescent="0.25">
      <c r="A14" s="311" t="s">
        <v>46</v>
      </c>
      <c r="B14" s="52" t="s">
        <v>26</v>
      </c>
      <c r="C14" s="52">
        <v>7</v>
      </c>
      <c r="D14" s="53" t="s">
        <v>227</v>
      </c>
      <c r="E14" s="140"/>
      <c r="F14" s="54">
        <v>5</v>
      </c>
      <c r="G14" s="55">
        <v>4</v>
      </c>
      <c r="H14" s="55">
        <v>3</v>
      </c>
      <c r="I14" s="55">
        <v>2</v>
      </c>
      <c r="J14" s="56">
        <v>1</v>
      </c>
      <c r="K14" s="66"/>
      <c r="L14" s="66"/>
      <c r="M14" s="55">
        <v>2</v>
      </c>
      <c r="N14" s="55">
        <f t="shared" ref="N14:N24" si="0">IF(L14=" ",M14,AVERAGE(M14,L14))</f>
        <v>2</v>
      </c>
      <c r="O14" s="55">
        <f>N14/SUM(impSDegree)</f>
        <v>0.33333333333333331</v>
      </c>
      <c r="P14" s="56">
        <f>IF($K14=$F$3,5,IF($K14=$G$3,4,IF($K14=$H$3,3,IF($K14=$J$3,1,IF($K14=$I$3,2,0)))))</f>
        <v>0</v>
      </c>
      <c r="Q14" s="51">
        <f>P14*O14</f>
        <v>0</v>
      </c>
      <c r="R14" s="296"/>
      <c r="S14" s="296"/>
      <c r="T14" s="296"/>
      <c r="U14" s="296"/>
      <c r="V14" s="296"/>
      <c r="W14" s="296"/>
      <c r="X14" s="296"/>
      <c r="Y14" s="296"/>
      <c r="Z14" s="312"/>
      <c r="AA14" s="279"/>
    </row>
    <row r="15" spans="1:29" ht="63" outlineLevel="2" x14ac:dyDescent="0.25">
      <c r="A15" s="311" t="s">
        <v>46</v>
      </c>
      <c r="B15" s="52" t="s">
        <v>27</v>
      </c>
      <c r="C15" s="52">
        <v>8</v>
      </c>
      <c r="D15" s="53" t="s">
        <v>118</v>
      </c>
      <c r="E15" s="140"/>
      <c r="F15" s="54">
        <v>5</v>
      </c>
      <c r="G15" s="55">
        <v>4</v>
      </c>
      <c r="H15" s="55">
        <v>3</v>
      </c>
      <c r="I15" s="55">
        <v>2</v>
      </c>
      <c r="J15" s="56">
        <v>1</v>
      </c>
      <c r="K15" s="66"/>
      <c r="L15" s="66"/>
      <c r="M15" s="55">
        <v>2</v>
      </c>
      <c r="N15" s="55">
        <f t="shared" si="0"/>
        <v>2</v>
      </c>
      <c r="O15" s="55">
        <f>N15/SUM(impSDegree)</f>
        <v>0.33333333333333331</v>
      </c>
      <c r="P15" s="56">
        <f>IF($K15=$F$3,5,IF($K15=$G$3,4,IF($K15=$H$3,3,IF($K15=$J$3,1,IF($K15=$I$3,2,0)))))</f>
        <v>0</v>
      </c>
      <c r="Q15" s="51">
        <f>P15*O15</f>
        <v>0</v>
      </c>
      <c r="R15" s="296"/>
      <c r="S15" s="296"/>
      <c r="T15" s="296"/>
      <c r="U15" s="296"/>
      <c r="V15" s="296"/>
      <c r="W15" s="296"/>
      <c r="X15" s="296"/>
      <c r="Y15" s="296"/>
      <c r="Z15" s="312"/>
      <c r="AA15" s="279"/>
    </row>
    <row r="16" spans="1:29" ht="47.25" outlineLevel="2" x14ac:dyDescent="0.25">
      <c r="A16" s="311" t="s">
        <v>46</v>
      </c>
      <c r="B16" s="52" t="s">
        <v>18</v>
      </c>
      <c r="C16" s="52">
        <v>9</v>
      </c>
      <c r="D16" s="53" t="s">
        <v>228</v>
      </c>
      <c r="E16" s="140"/>
      <c r="F16" s="54">
        <v>5</v>
      </c>
      <c r="G16" s="55">
        <v>4</v>
      </c>
      <c r="H16" s="55">
        <v>3</v>
      </c>
      <c r="I16" s="55">
        <v>2</v>
      </c>
      <c r="J16" s="56">
        <v>1</v>
      </c>
      <c r="K16" s="66"/>
      <c r="L16" s="66"/>
      <c r="M16" s="55">
        <v>2</v>
      </c>
      <c r="N16" s="55">
        <f t="shared" si="0"/>
        <v>2</v>
      </c>
      <c r="O16" s="55">
        <f>N16/SUM(impSDegree)</f>
        <v>0.33333333333333331</v>
      </c>
      <c r="P16" s="56">
        <f>IF($K16=$F$3,5,IF($K16=$G$3,4,IF($K16=$H$3,3,IF($K16=$J$3,1,IF($K16=$I$3,2,0)))))</f>
        <v>0</v>
      </c>
      <c r="Q16" s="51">
        <f>P16*O16</f>
        <v>0</v>
      </c>
      <c r="R16" s="296"/>
      <c r="S16" s="296"/>
      <c r="T16" s="296"/>
      <c r="U16" s="296"/>
      <c r="V16" s="296"/>
      <c r="W16" s="296"/>
      <c r="X16" s="296"/>
      <c r="Y16" s="296"/>
      <c r="Z16" s="312"/>
      <c r="AA16" s="279"/>
    </row>
    <row r="17" spans="1:27" outlineLevel="1" x14ac:dyDescent="0.25">
      <c r="A17" s="65" t="s">
        <v>46</v>
      </c>
      <c r="B17" s="253" t="s">
        <v>337</v>
      </c>
      <c r="C17" s="157"/>
      <c r="D17" s="157" t="s">
        <v>6</v>
      </c>
      <c r="E17" s="142">
        <f>COUNTBLANK(statAnswDomKnow)</f>
        <v>7</v>
      </c>
      <c r="F17" s="255"/>
      <c r="G17" s="255"/>
      <c r="H17" s="255"/>
      <c r="I17" s="255"/>
      <c r="J17" s="255"/>
      <c r="K17" s="255"/>
      <c r="L17" s="255"/>
      <c r="M17" s="255"/>
      <c r="N17" s="255"/>
      <c r="O17" s="255"/>
      <c r="P17" s="255"/>
      <c r="Q17" s="255"/>
      <c r="R17" s="257">
        <v>3</v>
      </c>
      <c r="S17" s="66"/>
      <c r="T17" s="186">
        <f>IF(S17=" ",R17,AVERAGE(R17:S17))</f>
        <v>3</v>
      </c>
      <c r="U17" s="175">
        <f>IF(T17&gt;=3,3,IF(T17&gt;=2,2,IF(T17&gt;=1,1,IF(T17&gt;=0,0))))</f>
        <v>3</v>
      </c>
      <c r="V17" s="67" t="str">
        <f>IF(T17&gt;=3,Data!$A$10,IF(T17&gt;=2,Data!$A$11,IF(T17&gt;=1,Data!$A$12,IF(T17&gt;=0,Data!$A$13))))</f>
        <v>Very important</v>
      </c>
      <c r="W17" s="67">
        <f>AVERAGE(R17:S17)</f>
        <v>3</v>
      </c>
      <c r="X17" s="68">
        <f>SUM(statDomain)</f>
        <v>0</v>
      </c>
      <c r="Y17" s="69">
        <f>W17/SUM(ImporOper)</f>
        <v>0.11538461538461539</v>
      </c>
      <c r="Z17" s="310">
        <f>X17*Y17</f>
        <v>0</v>
      </c>
      <c r="AA17" s="279"/>
    </row>
    <row r="18" spans="1:27" ht="47.25" outlineLevel="2" x14ac:dyDescent="0.25">
      <c r="A18" s="311" t="s">
        <v>46</v>
      </c>
      <c r="B18" s="52" t="s">
        <v>28</v>
      </c>
      <c r="C18" s="52">
        <v>14</v>
      </c>
      <c r="D18" s="53" t="s">
        <v>236</v>
      </c>
      <c r="E18" s="140"/>
      <c r="F18" s="54">
        <v>5</v>
      </c>
      <c r="G18" s="55">
        <v>4</v>
      </c>
      <c r="H18" s="55">
        <v>3</v>
      </c>
      <c r="I18" s="55">
        <v>2</v>
      </c>
      <c r="J18" s="56">
        <v>1</v>
      </c>
      <c r="K18" s="66"/>
      <c r="L18" s="66"/>
      <c r="M18" s="55">
        <v>2</v>
      </c>
      <c r="N18" s="55">
        <f t="shared" si="0"/>
        <v>2</v>
      </c>
      <c r="O18" s="55">
        <f t="shared" ref="O18:O24" si="1">N18/SUM(impSDomK)</f>
        <v>0.14285714285714285</v>
      </c>
      <c r="P18" s="56">
        <f t="shared" ref="P18:P24" si="2">IF($K18=$F$3,5,IF($K18=$G$3,4,IF($K18=$H$3,3,IF($K18=$J$3,1,IF($K18=$I$3,2,0)))))</f>
        <v>0</v>
      </c>
      <c r="Q18" s="51">
        <f t="shared" ref="Q18:Q24" si="3">P18*O18</f>
        <v>0</v>
      </c>
      <c r="R18" s="297"/>
      <c r="S18" s="297"/>
      <c r="T18" s="297"/>
      <c r="U18" s="297"/>
      <c r="V18" s="297"/>
      <c r="W18" s="297"/>
      <c r="X18" s="297"/>
      <c r="Y18" s="297"/>
      <c r="Z18" s="313"/>
      <c r="AA18" s="279"/>
    </row>
    <row r="19" spans="1:27" ht="47.25" outlineLevel="2" x14ac:dyDescent="0.25">
      <c r="A19" s="311" t="s">
        <v>46</v>
      </c>
      <c r="B19" s="52" t="s">
        <v>29</v>
      </c>
      <c r="C19" s="52">
        <v>15</v>
      </c>
      <c r="D19" s="53" t="s">
        <v>232</v>
      </c>
      <c r="E19" s="140"/>
      <c r="F19" s="54">
        <v>5</v>
      </c>
      <c r="G19" s="55">
        <v>4</v>
      </c>
      <c r="H19" s="55">
        <v>3</v>
      </c>
      <c r="I19" s="55">
        <v>2</v>
      </c>
      <c r="J19" s="56">
        <v>1</v>
      </c>
      <c r="K19" s="66"/>
      <c r="L19" s="66"/>
      <c r="M19" s="55">
        <v>2</v>
      </c>
      <c r="N19" s="55">
        <f t="shared" si="0"/>
        <v>2</v>
      </c>
      <c r="O19" s="55">
        <f t="shared" si="1"/>
        <v>0.14285714285714285</v>
      </c>
      <c r="P19" s="56">
        <f t="shared" si="2"/>
        <v>0</v>
      </c>
      <c r="Q19" s="51">
        <f t="shared" si="3"/>
        <v>0</v>
      </c>
      <c r="R19" s="297"/>
      <c r="S19" s="297"/>
      <c r="T19" s="297"/>
      <c r="U19" s="297"/>
      <c r="V19" s="297"/>
      <c r="W19" s="297"/>
      <c r="X19" s="297"/>
      <c r="Y19" s="297"/>
      <c r="Z19" s="313"/>
      <c r="AA19" s="279"/>
    </row>
    <row r="20" spans="1:27" ht="31.5" outlineLevel="2" x14ac:dyDescent="0.25">
      <c r="A20" s="311" t="s">
        <v>46</v>
      </c>
      <c r="B20" s="52" t="s">
        <v>31</v>
      </c>
      <c r="C20" s="52">
        <v>16</v>
      </c>
      <c r="D20" s="53" t="s">
        <v>38</v>
      </c>
      <c r="E20" s="140"/>
      <c r="F20" s="54">
        <v>5</v>
      </c>
      <c r="G20" s="55">
        <v>4</v>
      </c>
      <c r="H20" s="55">
        <v>3</v>
      </c>
      <c r="I20" s="55">
        <v>2</v>
      </c>
      <c r="J20" s="56">
        <v>1</v>
      </c>
      <c r="K20" s="66"/>
      <c r="L20" s="66"/>
      <c r="M20" s="55">
        <v>2</v>
      </c>
      <c r="N20" s="55">
        <f t="shared" si="0"/>
        <v>2</v>
      </c>
      <c r="O20" s="55">
        <f t="shared" si="1"/>
        <v>0.14285714285714285</v>
      </c>
      <c r="P20" s="56">
        <f t="shared" si="2"/>
        <v>0</v>
      </c>
      <c r="Q20" s="51">
        <f t="shared" si="3"/>
        <v>0</v>
      </c>
      <c r="R20" s="297"/>
      <c r="S20" s="297"/>
      <c r="T20" s="297"/>
      <c r="U20" s="297"/>
      <c r="V20" s="297"/>
      <c r="W20" s="297"/>
      <c r="X20" s="297"/>
      <c r="Y20" s="297"/>
      <c r="Z20" s="313"/>
      <c r="AA20" s="279"/>
    </row>
    <row r="21" spans="1:27" ht="47.25" outlineLevel="2" x14ac:dyDescent="0.25">
      <c r="A21" s="311" t="s">
        <v>46</v>
      </c>
      <c r="B21" s="52" t="s">
        <v>30</v>
      </c>
      <c r="C21" s="52">
        <v>17</v>
      </c>
      <c r="D21" s="53" t="s">
        <v>233</v>
      </c>
      <c r="E21" s="140"/>
      <c r="F21" s="54">
        <v>5</v>
      </c>
      <c r="G21" s="55">
        <v>4</v>
      </c>
      <c r="H21" s="55">
        <v>3</v>
      </c>
      <c r="I21" s="55">
        <v>2</v>
      </c>
      <c r="J21" s="56">
        <v>1</v>
      </c>
      <c r="K21" s="66"/>
      <c r="L21" s="66"/>
      <c r="M21" s="55">
        <v>2</v>
      </c>
      <c r="N21" s="55">
        <f t="shared" si="0"/>
        <v>2</v>
      </c>
      <c r="O21" s="55">
        <f t="shared" si="1"/>
        <v>0.14285714285714285</v>
      </c>
      <c r="P21" s="56">
        <f t="shared" si="2"/>
        <v>0</v>
      </c>
      <c r="Q21" s="51">
        <f t="shared" si="3"/>
        <v>0</v>
      </c>
      <c r="R21" s="297"/>
      <c r="S21" s="297"/>
      <c r="T21" s="297"/>
      <c r="U21" s="297"/>
      <c r="V21" s="297"/>
      <c r="W21" s="297"/>
      <c r="X21" s="297"/>
      <c r="Y21" s="297"/>
      <c r="Z21" s="313"/>
      <c r="AA21" s="279"/>
    </row>
    <row r="22" spans="1:27" ht="31.5" outlineLevel="2" x14ac:dyDescent="0.25">
      <c r="A22" s="311" t="s">
        <v>46</v>
      </c>
      <c r="B22" s="52" t="s">
        <v>148</v>
      </c>
      <c r="C22" s="52">
        <v>18</v>
      </c>
      <c r="D22" s="53" t="s">
        <v>234</v>
      </c>
      <c r="E22" s="140"/>
      <c r="F22" s="54">
        <v>5</v>
      </c>
      <c r="G22" s="55">
        <v>4</v>
      </c>
      <c r="H22" s="55">
        <v>3</v>
      </c>
      <c r="I22" s="55">
        <v>2</v>
      </c>
      <c r="J22" s="56">
        <v>1</v>
      </c>
      <c r="K22" s="66"/>
      <c r="L22" s="66"/>
      <c r="M22" s="55">
        <v>2</v>
      </c>
      <c r="N22" s="55">
        <f t="shared" si="0"/>
        <v>2</v>
      </c>
      <c r="O22" s="55">
        <f t="shared" si="1"/>
        <v>0.14285714285714285</v>
      </c>
      <c r="P22" s="56">
        <f t="shared" si="2"/>
        <v>0</v>
      </c>
      <c r="Q22" s="51">
        <f t="shared" si="3"/>
        <v>0</v>
      </c>
      <c r="R22" s="297"/>
      <c r="S22" s="297"/>
      <c r="T22" s="297"/>
      <c r="U22" s="297"/>
      <c r="V22" s="297"/>
      <c r="W22" s="297"/>
      <c r="X22" s="297"/>
      <c r="Y22" s="297"/>
      <c r="Z22" s="313"/>
      <c r="AA22" s="279"/>
    </row>
    <row r="23" spans="1:27" ht="31.5" outlineLevel="2" x14ac:dyDescent="0.25">
      <c r="A23" s="311" t="s">
        <v>46</v>
      </c>
      <c r="B23" s="52" t="s">
        <v>153</v>
      </c>
      <c r="C23" s="52">
        <v>19</v>
      </c>
      <c r="D23" s="53" t="s">
        <v>152</v>
      </c>
      <c r="E23" s="140"/>
      <c r="F23" s="54">
        <v>5</v>
      </c>
      <c r="G23" s="55">
        <v>4</v>
      </c>
      <c r="H23" s="55">
        <v>3</v>
      </c>
      <c r="I23" s="55">
        <v>2</v>
      </c>
      <c r="J23" s="56">
        <v>1</v>
      </c>
      <c r="K23" s="66"/>
      <c r="L23" s="66"/>
      <c r="M23" s="55">
        <v>2</v>
      </c>
      <c r="N23" s="55">
        <f t="shared" si="0"/>
        <v>2</v>
      </c>
      <c r="O23" s="55">
        <f t="shared" si="1"/>
        <v>0.14285714285714285</v>
      </c>
      <c r="P23" s="56">
        <f t="shared" si="2"/>
        <v>0</v>
      </c>
      <c r="Q23" s="51">
        <f t="shared" si="3"/>
        <v>0</v>
      </c>
      <c r="R23" s="297"/>
      <c r="S23" s="297"/>
      <c r="T23" s="297"/>
      <c r="U23" s="297"/>
      <c r="V23" s="297"/>
      <c r="W23" s="297"/>
      <c r="X23" s="297"/>
      <c r="Y23" s="297"/>
      <c r="Z23" s="313"/>
      <c r="AA23" s="279"/>
    </row>
    <row r="24" spans="1:27" ht="31.5" outlineLevel="2" x14ac:dyDescent="0.25">
      <c r="A24" s="311" t="s">
        <v>46</v>
      </c>
      <c r="B24" s="52" t="s">
        <v>188</v>
      </c>
      <c r="C24" s="52">
        <v>20</v>
      </c>
      <c r="D24" s="53" t="s">
        <v>235</v>
      </c>
      <c r="E24" s="140"/>
      <c r="F24" s="54">
        <v>5</v>
      </c>
      <c r="G24" s="55">
        <v>4</v>
      </c>
      <c r="H24" s="55">
        <v>3</v>
      </c>
      <c r="I24" s="55">
        <v>2</v>
      </c>
      <c r="J24" s="56">
        <v>1</v>
      </c>
      <c r="K24" s="66"/>
      <c r="L24" s="66"/>
      <c r="M24" s="55">
        <v>2</v>
      </c>
      <c r="N24" s="55">
        <f t="shared" si="0"/>
        <v>2</v>
      </c>
      <c r="O24" s="55">
        <f t="shared" si="1"/>
        <v>0.14285714285714285</v>
      </c>
      <c r="P24" s="56">
        <f t="shared" si="2"/>
        <v>0</v>
      </c>
      <c r="Q24" s="51">
        <f t="shared" si="3"/>
        <v>0</v>
      </c>
      <c r="R24" s="297"/>
      <c r="S24" s="297"/>
      <c r="T24" s="297"/>
      <c r="U24" s="297"/>
      <c r="V24" s="297"/>
      <c r="W24" s="297"/>
      <c r="X24" s="297"/>
      <c r="Y24" s="297"/>
      <c r="Z24" s="313"/>
      <c r="AA24" s="279"/>
    </row>
    <row r="25" spans="1:27" outlineLevel="1" x14ac:dyDescent="0.25">
      <c r="A25" s="65" t="s">
        <v>47</v>
      </c>
      <c r="B25" s="253" t="s">
        <v>337</v>
      </c>
      <c r="C25" s="157"/>
      <c r="D25" s="157" t="s">
        <v>142</v>
      </c>
      <c r="E25" s="142">
        <f>COUNTBLANK(statAnswMarkPot)</f>
        <v>6</v>
      </c>
      <c r="F25" s="255"/>
      <c r="G25" s="255"/>
      <c r="H25" s="255"/>
      <c r="I25" s="255"/>
      <c r="J25" s="255"/>
      <c r="K25" s="292"/>
      <c r="L25" s="292"/>
      <c r="M25" s="292"/>
      <c r="N25" s="292"/>
      <c r="O25" s="292"/>
      <c r="P25" s="292"/>
      <c r="Q25" s="292"/>
      <c r="R25" s="257">
        <v>3</v>
      </c>
      <c r="S25" s="66"/>
      <c r="T25" s="186">
        <f>IF(S25=" ",R25,AVERAGE(R25:S25))</f>
        <v>3</v>
      </c>
      <c r="U25" s="175">
        <f>IF(T25&gt;=3,3,IF(T25&gt;=2,2,IF(T25&gt;=1,1,IF(T25&gt;=0,0))))</f>
        <v>3</v>
      </c>
      <c r="V25" s="67" t="str">
        <f>IF(T25&gt;=3,Data!$A$10,IF(T25&gt;=2,Data!$A$11,IF(T25&gt;=1,Data!$A$12,IF(T25&gt;=0,Data!$A$13))))</f>
        <v>Very important</v>
      </c>
      <c r="W25" s="67">
        <f>AVERAGE(R25:S25)</f>
        <v>3</v>
      </c>
      <c r="X25" s="68">
        <f>SUM(statMark)</f>
        <v>0</v>
      </c>
      <c r="Y25" s="69">
        <f>W25/SUM(ImporOper)</f>
        <v>0.11538461538461539</v>
      </c>
      <c r="Z25" s="310">
        <f>X25*Y25</f>
        <v>0</v>
      </c>
      <c r="AA25" s="279"/>
    </row>
    <row r="26" spans="1:27" ht="47.25" outlineLevel="2" x14ac:dyDescent="0.25">
      <c r="A26" s="311" t="s">
        <v>47</v>
      </c>
      <c r="B26" s="52" t="s">
        <v>17</v>
      </c>
      <c r="C26" s="52">
        <v>1</v>
      </c>
      <c r="D26" s="53" t="s">
        <v>218</v>
      </c>
      <c r="E26" s="140"/>
      <c r="F26" s="54">
        <v>5</v>
      </c>
      <c r="G26" s="55">
        <v>4</v>
      </c>
      <c r="H26" s="55">
        <v>3</v>
      </c>
      <c r="I26" s="55">
        <v>2</v>
      </c>
      <c r="J26" s="56">
        <v>1</v>
      </c>
      <c r="K26" s="66"/>
      <c r="L26" s="66"/>
      <c r="M26" s="55">
        <v>2</v>
      </c>
      <c r="N26" s="55">
        <f t="shared" ref="N26:N31" si="4">IF(L26=" ",M26,AVERAGE(M26,L26))</f>
        <v>2</v>
      </c>
      <c r="O26" s="55">
        <f t="shared" ref="O26:O31" si="5">N26/SUM(impSMarket)</f>
        <v>0.16666666666666666</v>
      </c>
      <c r="P26" s="56">
        <f t="shared" ref="P26:P31" si="6">IF($K26=$F$3,5,IF($K26=$G$3,4,IF($K26=$H$3,3,IF($K26=$J$3,1,IF($K26=$I$3,2,0)))))</f>
        <v>0</v>
      </c>
      <c r="Q26" s="50">
        <f t="shared" ref="Q26:Q53" si="7">P26*O26</f>
        <v>0</v>
      </c>
      <c r="R26" s="276"/>
      <c r="S26" s="276"/>
      <c r="T26" s="276"/>
      <c r="U26" s="276"/>
      <c r="V26" s="276"/>
      <c r="W26" s="276"/>
      <c r="X26" s="276"/>
      <c r="Y26" s="276"/>
      <c r="Z26" s="314"/>
      <c r="AA26" s="279"/>
    </row>
    <row r="27" spans="1:27" ht="31.5" outlineLevel="2" x14ac:dyDescent="0.25">
      <c r="A27" s="311" t="s">
        <v>47</v>
      </c>
      <c r="B27" s="52" t="s">
        <v>16</v>
      </c>
      <c r="C27" s="52">
        <v>2</v>
      </c>
      <c r="D27" s="53" t="s">
        <v>225</v>
      </c>
      <c r="E27" s="140"/>
      <c r="F27" s="54">
        <v>5</v>
      </c>
      <c r="G27" s="55">
        <v>4</v>
      </c>
      <c r="H27" s="55">
        <v>3</v>
      </c>
      <c r="I27" s="55">
        <v>2</v>
      </c>
      <c r="J27" s="56">
        <v>1</v>
      </c>
      <c r="K27" s="66"/>
      <c r="L27" s="66"/>
      <c r="M27" s="55">
        <v>2</v>
      </c>
      <c r="N27" s="55">
        <f t="shared" si="4"/>
        <v>2</v>
      </c>
      <c r="O27" s="55">
        <f t="shared" si="5"/>
        <v>0.16666666666666666</v>
      </c>
      <c r="P27" s="56">
        <f t="shared" si="6"/>
        <v>0</v>
      </c>
      <c r="Q27" s="50">
        <f t="shared" si="7"/>
        <v>0</v>
      </c>
      <c r="R27" s="276"/>
      <c r="S27" s="276"/>
      <c r="T27" s="276"/>
      <c r="U27" s="276"/>
      <c r="V27" s="276"/>
      <c r="W27" s="276"/>
      <c r="X27" s="276"/>
      <c r="Y27" s="276"/>
      <c r="Z27" s="314"/>
      <c r="AA27" s="279"/>
    </row>
    <row r="28" spans="1:27" ht="18.75" outlineLevel="2" x14ac:dyDescent="0.25">
      <c r="A28" s="311" t="s">
        <v>47</v>
      </c>
      <c r="B28" s="52" t="s">
        <v>24</v>
      </c>
      <c r="C28" s="52">
        <v>3</v>
      </c>
      <c r="D28" s="53" t="s">
        <v>219</v>
      </c>
      <c r="E28" s="140"/>
      <c r="F28" s="54">
        <v>5</v>
      </c>
      <c r="G28" s="55">
        <v>4</v>
      </c>
      <c r="H28" s="55">
        <v>3</v>
      </c>
      <c r="I28" s="55">
        <v>2</v>
      </c>
      <c r="J28" s="56">
        <v>1</v>
      </c>
      <c r="K28" s="66"/>
      <c r="L28" s="66"/>
      <c r="M28" s="55">
        <v>2</v>
      </c>
      <c r="N28" s="55">
        <f t="shared" si="4"/>
        <v>2</v>
      </c>
      <c r="O28" s="55">
        <f t="shared" si="5"/>
        <v>0.16666666666666666</v>
      </c>
      <c r="P28" s="56">
        <f t="shared" si="6"/>
        <v>0</v>
      </c>
      <c r="Q28" s="50">
        <f t="shared" si="7"/>
        <v>0</v>
      </c>
      <c r="R28" s="276"/>
      <c r="S28" s="276"/>
      <c r="T28" s="276"/>
      <c r="U28" s="276"/>
      <c r="V28" s="276"/>
      <c r="W28" s="276"/>
      <c r="X28" s="276"/>
      <c r="Y28" s="276"/>
      <c r="Z28" s="314"/>
      <c r="AA28" s="279"/>
    </row>
    <row r="29" spans="1:27" ht="31.5" outlineLevel="2" x14ac:dyDescent="0.25">
      <c r="A29" s="311" t="s">
        <v>47</v>
      </c>
      <c r="B29" s="52" t="s">
        <v>25</v>
      </c>
      <c r="C29" s="52">
        <v>4</v>
      </c>
      <c r="D29" s="53" t="s">
        <v>226</v>
      </c>
      <c r="E29" s="140"/>
      <c r="F29" s="54">
        <v>5</v>
      </c>
      <c r="G29" s="55">
        <v>4</v>
      </c>
      <c r="H29" s="55">
        <v>3</v>
      </c>
      <c r="I29" s="55">
        <v>2</v>
      </c>
      <c r="J29" s="56">
        <v>1</v>
      </c>
      <c r="K29" s="66"/>
      <c r="L29" s="66"/>
      <c r="M29" s="55">
        <v>2</v>
      </c>
      <c r="N29" s="55">
        <f t="shared" si="4"/>
        <v>2</v>
      </c>
      <c r="O29" s="55">
        <f t="shared" si="5"/>
        <v>0.16666666666666666</v>
      </c>
      <c r="P29" s="56">
        <f t="shared" si="6"/>
        <v>0</v>
      </c>
      <c r="Q29" s="50">
        <f t="shared" si="7"/>
        <v>0</v>
      </c>
      <c r="R29" s="276"/>
      <c r="S29" s="276"/>
      <c r="T29" s="276"/>
      <c r="U29" s="276"/>
      <c r="V29" s="276"/>
      <c r="W29" s="276"/>
      <c r="X29" s="276"/>
      <c r="Y29" s="276"/>
      <c r="Z29" s="314"/>
      <c r="AA29" s="279"/>
    </row>
    <row r="30" spans="1:27" ht="31.5" outlineLevel="2" x14ac:dyDescent="0.25">
      <c r="A30" s="311" t="s">
        <v>47</v>
      </c>
      <c r="B30" s="52" t="s">
        <v>30</v>
      </c>
      <c r="C30" s="52">
        <v>5</v>
      </c>
      <c r="D30" s="53" t="s">
        <v>224</v>
      </c>
      <c r="E30" s="140"/>
      <c r="F30" s="54">
        <v>5</v>
      </c>
      <c r="G30" s="55">
        <v>4</v>
      </c>
      <c r="H30" s="55">
        <v>3</v>
      </c>
      <c r="I30" s="55">
        <v>2</v>
      </c>
      <c r="J30" s="56">
        <v>1</v>
      </c>
      <c r="K30" s="66"/>
      <c r="L30" s="66"/>
      <c r="M30" s="55">
        <v>2</v>
      </c>
      <c r="N30" s="55">
        <f t="shared" si="4"/>
        <v>2</v>
      </c>
      <c r="O30" s="55">
        <f t="shared" si="5"/>
        <v>0.16666666666666666</v>
      </c>
      <c r="P30" s="56">
        <f t="shared" si="6"/>
        <v>0</v>
      </c>
      <c r="Q30" s="50">
        <f t="shared" si="7"/>
        <v>0</v>
      </c>
      <c r="R30" s="276"/>
      <c r="S30" s="276"/>
      <c r="T30" s="276"/>
      <c r="U30" s="276"/>
      <c r="V30" s="276"/>
      <c r="W30" s="276"/>
      <c r="X30" s="276"/>
      <c r="Y30" s="276"/>
      <c r="Z30" s="314"/>
      <c r="AA30" s="279"/>
    </row>
    <row r="31" spans="1:27" ht="47.25" outlineLevel="2" x14ac:dyDescent="0.25">
      <c r="A31" s="311" t="s">
        <v>47</v>
      </c>
      <c r="B31" s="52" t="s">
        <v>36</v>
      </c>
      <c r="C31" s="52">
        <v>6</v>
      </c>
      <c r="D31" s="53" t="s">
        <v>220</v>
      </c>
      <c r="E31" s="140"/>
      <c r="F31" s="54">
        <v>5</v>
      </c>
      <c r="G31" s="55">
        <v>4</v>
      </c>
      <c r="H31" s="55">
        <v>3</v>
      </c>
      <c r="I31" s="55">
        <v>2</v>
      </c>
      <c r="J31" s="56">
        <v>1</v>
      </c>
      <c r="K31" s="66"/>
      <c r="L31" s="66"/>
      <c r="M31" s="55">
        <v>2</v>
      </c>
      <c r="N31" s="55">
        <f t="shared" si="4"/>
        <v>2</v>
      </c>
      <c r="O31" s="55">
        <f t="shared" si="5"/>
        <v>0.16666666666666666</v>
      </c>
      <c r="P31" s="56">
        <f t="shared" si="6"/>
        <v>0</v>
      </c>
      <c r="Q31" s="50">
        <f t="shared" si="7"/>
        <v>0</v>
      </c>
      <c r="R31" s="276"/>
      <c r="S31" s="276"/>
      <c r="T31" s="276"/>
      <c r="U31" s="276"/>
      <c r="V31" s="276"/>
      <c r="W31" s="276"/>
      <c r="X31" s="276"/>
      <c r="Y31" s="276"/>
      <c r="Z31" s="314"/>
      <c r="AA31" s="279"/>
    </row>
    <row r="32" spans="1:27" outlineLevel="1" x14ac:dyDescent="0.25">
      <c r="A32" s="65" t="s">
        <v>46</v>
      </c>
      <c r="B32" s="253" t="s">
        <v>337</v>
      </c>
      <c r="C32" s="157"/>
      <c r="D32" s="157" t="s">
        <v>301</v>
      </c>
      <c r="E32" s="142">
        <f>COUNTBLANK(statAnswOpen)</f>
        <v>3</v>
      </c>
      <c r="F32" s="255"/>
      <c r="G32" s="255"/>
      <c r="H32" s="255"/>
      <c r="I32" s="255"/>
      <c r="J32" s="255"/>
      <c r="K32" s="292"/>
      <c r="L32" s="292"/>
      <c r="M32" s="292"/>
      <c r="N32" s="292"/>
      <c r="O32" s="292"/>
      <c r="P32" s="292"/>
      <c r="Q32" s="292"/>
      <c r="R32" s="257">
        <v>3</v>
      </c>
      <c r="S32" s="66"/>
      <c r="T32" s="186">
        <f>IF(S32=" ",R32,AVERAGE(R32:S32))</f>
        <v>3</v>
      </c>
      <c r="U32" s="175">
        <f>IF(T32&gt;=3,3,IF(T32&gt;=2,2,IF(T32&gt;=1,1,IF(T32&gt;=0,0))))</f>
        <v>3</v>
      </c>
      <c r="V32" s="67" t="str">
        <f>IF(T32&gt;=3,Data!$A$10,IF(T32&gt;=2,Data!$A$11,IF(T32&gt;=1,Data!$A$12,IF(T32&gt;=0,Data!$A$13))))</f>
        <v>Very important</v>
      </c>
      <c r="W32" s="67">
        <f>AVERAGE(R32:S32)</f>
        <v>3</v>
      </c>
      <c r="X32" s="68">
        <f>SUM(statOpen)</f>
        <v>1</v>
      </c>
      <c r="Y32" s="69">
        <f>W32/SUM(ImporOper)</f>
        <v>0.11538461538461539</v>
      </c>
      <c r="Z32" s="310">
        <f>X32*Y32</f>
        <v>0.11538461538461539</v>
      </c>
      <c r="AA32" s="279"/>
    </row>
    <row r="33" spans="1:29" ht="47.25" outlineLevel="2" x14ac:dyDescent="0.25">
      <c r="A33" s="311" t="s">
        <v>46</v>
      </c>
      <c r="B33" s="52" t="s">
        <v>180</v>
      </c>
      <c r="C33" s="52">
        <v>24</v>
      </c>
      <c r="D33" s="53" t="s">
        <v>302</v>
      </c>
      <c r="E33" s="140"/>
      <c r="F33" s="54">
        <v>5</v>
      </c>
      <c r="G33" s="55">
        <v>4</v>
      </c>
      <c r="H33" s="55">
        <v>3</v>
      </c>
      <c r="I33" s="55">
        <v>2</v>
      </c>
      <c r="J33" s="56">
        <v>1</v>
      </c>
      <c r="K33" s="66"/>
      <c r="L33" s="66"/>
      <c r="M33" s="55">
        <v>2</v>
      </c>
      <c r="N33" s="55">
        <f>IF(L33=" ",M33,AVERAGE(M33,L33))</f>
        <v>2</v>
      </c>
      <c r="O33" s="55">
        <f>N33/SUM(impSOpen)</f>
        <v>0.33333333333333331</v>
      </c>
      <c r="P33" s="56">
        <f>IF($K33=$F$3,5,IF($K33=$G$3,4,IF($K33=$H$3,3,IF($K33=$J$3,1,IF($K33=$I$3,2,0)))))</f>
        <v>0</v>
      </c>
      <c r="Q33" s="50">
        <f t="shared" si="7"/>
        <v>0</v>
      </c>
      <c r="R33" s="286"/>
      <c r="S33" s="286"/>
      <c r="T33" s="286"/>
      <c r="U33" s="286"/>
      <c r="V33" s="286"/>
      <c r="W33" s="286"/>
      <c r="X33" s="286"/>
      <c r="Y33" s="286"/>
      <c r="Z33" s="315"/>
      <c r="AA33" s="279"/>
    </row>
    <row r="34" spans="1:29" ht="31.5" outlineLevel="2" x14ac:dyDescent="0.25">
      <c r="A34" s="311" t="s">
        <v>46</v>
      </c>
      <c r="B34" s="52" t="s">
        <v>181</v>
      </c>
      <c r="C34" s="52">
        <v>25</v>
      </c>
      <c r="D34" s="53" t="s">
        <v>239</v>
      </c>
      <c r="E34" s="140"/>
      <c r="F34" s="54">
        <v>5</v>
      </c>
      <c r="G34" s="55">
        <v>4</v>
      </c>
      <c r="H34" s="55">
        <v>3</v>
      </c>
      <c r="I34" s="55">
        <v>2</v>
      </c>
      <c r="J34" s="56">
        <v>1</v>
      </c>
      <c r="K34" s="66"/>
      <c r="L34" s="66"/>
      <c r="M34" s="55">
        <v>2</v>
      </c>
      <c r="N34" s="55">
        <f>IF(L34=" ",M34,AVERAGE(M34,L34))</f>
        <v>2</v>
      </c>
      <c r="O34" s="55">
        <f>N34/SUM(impSOpen)</f>
        <v>0.33333333333333331</v>
      </c>
      <c r="P34" s="56">
        <f>IF($K34=$F$3,5,IF($K34=$G$3,4,IF($K34=$H$3,3,IF($K34=$J$3,1,IF($K34=$I$3,2,0)))))</f>
        <v>0</v>
      </c>
      <c r="Q34" s="50">
        <f t="shared" si="7"/>
        <v>0</v>
      </c>
      <c r="R34" s="286"/>
      <c r="S34" s="286"/>
      <c r="T34" s="286"/>
      <c r="U34" s="286"/>
      <c r="V34" s="286"/>
      <c r="W34" s="286"/>
      <c r="X34" s="286"/>
      <c r="Y34" s="286"/>
      <c r="Z34" s="315"/>
      <c r="AA34" s="279"/>
    </row>
    <row r="35" spans="1:29" ht="31.5" outlineLevel="2" x14ac:dyDescent="0.25">
      <c r="A35" s="311" t="s">
        <v>46</v>
      </c>
      <c r="B35" s="52" t="s">
        <v>182</v>
      </c>
      <c r="C35" s="52">
        <v>26</v>
      </c>
      <c r="D35" s="53" t="s">
        <v>240</v>
      </c>
      <c r="E35" s="140"/>
      <c r="F35" s="54">
        <v>5</v>
      </c>
      <c r="G35" s="55">
        <v>4</v>
      </c>
      <c r="H35" s="55">
        <v>3</v>
      </c>
      <c r="I35" s="55">
        <v>2</v>
      </c>
      <c r="J35" s="56">
        <v>1</v>
      </c>
      <c r="K35" s="66"/>
      <c r="L35" s="66"/>
      <c r="M35" s="55">
        <v>2</v>
      </c>
      <c r="N35" s="55">
        <f>IF(L35=" ",M35,AVERAGE(M35,L35))</f>
        <v>2</v>
      </c>
      <c r="O35" s="55">
        <f>N35/SUM(impSOpen)</f>
        <v>0.33333333333333331</v>
      </c>
      <c r="P35" s="56">
        <f>IF($K35=$F$3,5,IF($K35=$G$3,4,IF($K35=$H$3,3,IF($K35=$J$3,1,IF($K35=$I$3,2,3)))))</f>
        <v>3</v>
      </c>
      <c r="Q35" s="50">
        <f t="shared" si="7"/>
        <v>1</v>
      </c>
      <c r="R35" s="286"/>
      <c r="S35" s="286"/>
      <c r="T35" s="286"/>
      <c r="U35" s="286"/>
      <c r="V35" s="286"/>
      <c r="W35" s="286"/>
      <c r="X35" s="286"/>
      <c r="Y35" s="286"/>
      <c r="Z35" s="315"/>
      <c r="AA35" s="279"/>
      <c r="AC35" s="274"/>
    </row>
    <row r="36" spans="1:29" outlineLevel="1" x14ac:dyDescent="0.25">
      <c r="A36" s="65" t="s">
        <v>46</v>
      </c>
      <c r="B36" s="253" t="s">
        <v>337</v>
      </c>
      <c r="C36" s="157"/>
      <c r="D36" s="157" t="s">
        <v>419</v>
      </c>
      <c r="E36" s="142">
        <f>COUNTBLANK(statAnswOrgPrep)</f>
        <v>4</v>
      </c>
      <c r="F36" s="255"/>
      <c r="G36" s="255"/>
      <c r="H36" s="255"/>
      <c r="I36" s="255"/>
      <c r="J36" s="255"/>
      <c r="K36" s="292"/>
      <c r="L36" s="292"/>
      <c r="M36" s="292"/>
      <c r="N36" s="292"/>
      <c r="O36" s="292"/>
      <c r="P36" s="292"/>
      <c r="Q36" s="292"/>
      <c r="R36" s="257">
        <v>3</v>
      </c>
      <c r="S36" s="66"/>
      <c r="T36" s="186">
        <f>IF(S36=" ",R36,AVERAGE(R36:S36))</f>
        <v>3</v>
      </c>
      <c r="U36" s="175">
        <f>IF(T36&gt;=3,3,IF(T36&gt;=2,2,IF(T36&gt;=1,1,IF(T36&gt;=0,0))))</f>
        <v>3</v>
      </c>
      <c r="V36" s="67" t="str">
        <f>IF(T36&gt;=3,Data!$A$10,IF(T36&gt;=2,Data!$A$11,IF(T36&gt;=1,Data!$A$12,IF(T36&gt;=0,Data!$A$13))))</f>
        <v>Very important</v>
      </c>
      <c r="W36" s="67">
        <f>AVERAGE(R36:S36)</f>
        <v>3</v>
      </c>
      <c r="X36" s="68">
        <f>SUM(statOrganiz)</f>
        <v>0</v>
      </c>
      <c r="Y36" s="69">
        <f>W36/SUM(ImporOper)</f>
        <v>0.11538461538461539</v>
      </c>
      <c r="Z36" s="310">
        <f>X36*Y36</f>
        <v>0</v>
      </c>
      <c r="AA36" s="279"/>
      <c r="AC36" s="274"/>
    </row>
    <row r="37" spans="1:29" ht="47.25" outlineLevel="2" x14ac:dyDescent="0.25">
      <c r="A37" s="311" t="s">
        <v>46</v>
      </c>
      <c r="B37" s="52" t="s">
        <v>183</v>
      </c>
      <c r="C37" s="52">
        <v>28</v>
      </c>
      <c r="D37" s="53" t="s">
        <v>242</v>
      </c>
      <c r="E37" s="140"/>
      <c r="F37" s="54">
        <v>5</v>
      </c>
      <c r="G37" s="55">
        <v>4</v>
      </c>
      <c r="H37" s="55">
        <v>3</v>
      </c>
      <c r="I37" s="55">
        <v>2</v>
      </c>
      <c r="J37" s="56">
        <v>1</v>
      </c>
      <c r="K37" s="66"/>
      <c r="L37" s="66"/>
      <c r="M37" s="55">
        <v>2</v>
      </c>
      <c r="N37" s="55">
        <f>IF(L37=" ",M37,AVERAGE(M37,L37))</f>
        <v>2</v>
      </c>
      <c r="O37" s="55">
        <f>N37/SUM(impSOrgan)</f>
        <v>0.25</v>
      </c>
      <c r="P37" s="56">
        <f>IF($K37=$F$3,5,IF($K37=$G$3,4,IF($K37=$H$3,3,IF($K37=$J$3,1,IF($K37=$I$3,2,0)))))</f>
        <v>0</v>
      </c>
      <c r="Q37" s="50">
        <f t="shared" si="7"/>
        <v>0</v>
      </c>
      <c r="R37" s="276"/>
      <c r="S37" s="276"/>
      <c r="T37" s="276"/>
      <c r="U37" s="276"/>
      <c r="V37" s="276"/>
      <c r="W37" s="276"/>
      <c r="X37" s="276"/>
      <c r="Y37" s="276"/>
      <c r="Z37" s="314"/>
      <c r="AA37" s="279"/>
      <c r="AC37" s="274"/>
    </row>
    <row r="38" spans="1:29" ht="31.5" outlineLevel="2" x14ac:dyDescent="0.25">
      <c r="A38" s="311" t="s">
        <v>46</v>
      </c>
      <c r="B38" s="52" t="s">
        <v>184</v>
      </c>
      <c r="C38" s="52">
        <v>29</v>
      </c>
      <c r="D38" s="53" t="s">
        <v>243</v>
      </c>
      <c r="E38" s="140"/>
      <c r="F38" s="54">
        <v>5</v>
      </c>
      <c r="G38" s="55">
        <v>4</v>
      </c>
      <c r="H38" s="55">
        <v>3</v>
      </c>
      <c r="I38" s="55">
        <v>2</v>
      </c>
      <c r="J38" s="56">
        <v>1</v>
      </c>
      <c r="K38" s="66"/>
      <c r="L38" s="66"/>
      <c r="M38" s="55">
        <v>2</v>
      </c>
      <c r="N38" s="55">
        <f>IF(L38=" ",M38,AVERAGE(M38,L38))</f>
        <v>2</v>
      </c>
      <c r="O38" s="55">
        <f>N38/SUM(impSOrgan)</f>
        <v>0.25</v>
      </c>
      <c r="P38" s="56">
        <f>IF($K38=$F$3,5,IF($K38=$G$3,4,IF($K38=$H$3,3,IF($K38=$J$3,1,IF($K38=$I$3,2,0)))))</f>
        <v>0</v>
      </c>
      <c r="Q38" s="50">
        <f t="shared" si="7"/>
        <v>0</v>
      </c>
      <c r="R38" s="276"/>
      <c r="S38" s="276"/>
      <c r="T38" s="276"/>
      <c r="U38" s="276"/>
      <c r="V38" s="276"/>
      <c r="W38" s="276"/>
      <c r="X38" s="276"/>
      <c r="Y38" s="276"/>
      <c r="Z38" s="314"/>
      <c r="AA38" s="279"/>
      <c r="AC38" s="274"/>
    </row>
    <row r="39" spans="1:29" ht="47.25" outlineLevel="2" x14ac:dyDescent="0.25">
      <c r="A39" s="311" t="s">
        <v>46</v>
      </c>
      <c r="B39" s="52" t="s">
        <v>185</v>
      </c>
      <c r="C39" s="52">
        <v>30</v>
      </c>
      <c r="D39" s="53" t="s">
        <v>244</v>
      </c>
      <c r="E39" s="140"/>
      <c r="F39" s="54">
        <v>5</v>
      </c>
      <c r="G39" s="55">
        <v>4</v>
      </c>
      <c r="H39" s="55">
        <v>3</v>
      </c>
      <c r="I39" s="55">
        <v>2</v>
      </c>
      <c r="J39" s="56">
        <v>1</v>
      </c>
      <c r="K39" s="66"/>
      <c r="L39" s="66"/>
      <c r="M39" s="55">
        <v>2</v>
      </c>
      <c r="N39" s="55">
        <f>IF(L39=" ",M39,AVERAGE(M39,L39))</f>
        <v>2</v>
      </c>
      <c r="O39" s="55">
        <f>N39/SUM(impSOrgan)</f>
        <v>0.25</v>
      </c>
      <c r="P39" s="56">
        <f>IF($K39=$F$3,5,IF($K39=$G$3,4,IF($K39=$H$3,3,IF($K39=$J$3,1,IF($K39=$I$3,2,0)))))</f>
        <v>0</v>
      </c>
      <c r="Q39" s="50">
        <f t="shared" si="7"/>
        <v>0</v>
      </c>
      <c r="R39" s="276"/>
      <c r="S39" s="276"/>
      <c r="T39" s="276"/>
      <c r="U39" s="276"/>
      <c r="V39" s="276"/>
      <c r="W39" s="276"/>
      <c r="X39" s="276"/>
      <c r="Y39" s="276"/>
      <c r="Z39" s="314"/>
      <c r="AA39" s="279"/>
      <c r="AC39" s="274"/>
    </row>
    <row r="40" spans="1:29" ht="47.25" outlineLevel="2" x14ac:dyDescent="0.25">
      <c r="A40" s="311" t="s">
        <v>46</v>
      </c>
      <c r="B40" s="52" t="s">
        <v>190</v>
      </c>
      <c r="C40" s="52">
        <v>27</v>
      </c>
      <c r="D40" s="53" t="s">
        <v>241</v>
      </c>
      <c r="E40" s="140"/>
      <c r="F40" s="54">
        <v>5</v>
      </c>
      <c r="G40" s="55">
        <v>4</v>
      </c>
      <c r="H40" s="55">
        <v>3</v>
      </c>
      <c r="I40" s="55">
        <v>2</v>
      </c>
      <c r="J40" s="56">
        <v>1</v>
      </c>
      <c r="K40" s="66"/>
      <c r="L40" s="66"/>
      <c r="M40" s="55">
        <v>2</v>
      </c>
      <c r="N40" s="55">
        <f>IF(L40=" ",M40,AVERAGE(M40,L40))</f>
        <v>2</v>
      </c>
      <c r="O40" s="55">
        <f>N40/SUM(impSOrgan)</f>
        <v>0.25</v>
      </c>
      <c r="P40" s="56">
        <f>IF($K40=$F$3,5,IF($K40=$G$3,4,IF($K40=$H$3,3,IF($K40=$J$3,1,IF($K40=$I$3,2,0)))))</f>
        <v>0</v>
      </c>
      <c r="Q40" s="50">
        <f t="shared" si="7"/>
        <v>0</v>
      </c>
      <c r="R40" s="276"/>
      <c r="S40" s="276"/>
      <c r="T40" s="276"/>
      <c r="U40" s="276"/>
      <c r="V40" s="276"/>
      <c r="W40" s="276"/>
      <c r="X40" s="276"/>
      <c r="Y40" s="276"/>
      <c r="Z40" s="314"/>
      <c r="AA40" s="279"/>
      <c r="AC40" s="274"/>
    </row>
    <row r="41" spans="1:29" outlineLevel="1" x14ac:dyDescent="0.25">
      <c r="A41" s="65" t="s">
        <v>46</v>
      </c>
      <c r="B41" s="253" t="s">
        <v>337</v>
      </c>
      <c r="C41" s="157"/>
      <c r="D41" s="157" t="s">
        <v>7</v>
      </c>
      <c r="E41" s="142">
        <f>COUNTBLANK(statAnswPotProd)</f>
        <v>3</v>
      </c>
      <c r="F41" s="255"/>
      <c r="G41" s="255"/>
      <c r="H41" s="255"/>
      <c r="I41" s="255"/>
      <c r="J41" s="255"/>
      <c r="K41" s="292"/>
      <c r="L41" s="292"/>
      <c r="M41" s="292"/>
      <c r="N41" s="292"/>
      <c r="O41" s="292"/>
      <c r="P41" s="292"/>
      <c r="Q41" s="292"/>
      <c r="R41" s="257">
        <v>1</v>
      </c>
      <c r="S41" s="66"/>
      <c r="T41" s="186">
        <f>IF(S41=" ",R41,AVERAGE(R41:S41))</f>
        <v>1</v>
      </c>
      <c r="U41" s="175">
        <f>IF(T41&gt;=3,3,IF(T41&gt;=2,2,IF(T41&gt;=1,1,IF(T41&gt;=0,0))))</f>
        <v>1</v>
      </c>
      <c r="V41" s="67" t="str">
        <f>IF(T41&gt;=3,Data!$A$10,IF(T41&gt;=2,Data!$A$11,IF(T41&gt;=1,Data!$A$12,IF(T41&gt;=0,Data!$A$13))))</f>
        <v>Desirable</v>
      </c>
      <c r="W41" s="67">
        <f>AVERAGE(R41:S41)</f>
        <v>1</v>
      </c>
      <c r="X41" s="68">
        <f>SUM(statPotPro)</f>
        <v>0</v>
      </c>
      <c r="Y41" s="69">
        <f>W41/SUM(ImporOper)</f>
        <v>3.8461538461538464E-2</v>
      </c>
      <c r="Z41" s="310">
        <f>X41*Y41</f>
        <v>0</v>
      </c>
      <c r="AA41" s="279"/>
    </row>
    <row r="42" spans="1:29" ht="47.25" outlineLevel="2" x14ac:dyDescent="0.25">
      <c r="A42" s="311" t="s">
        <v>46</v>
      </c>
      <c r="B42" s="52" t="s">
        <v>33</v>
      </c>
      <c r="C42" s="52">
        <v>21</v>
      </c>
      <c r="D42" s="53" t="s">
        <v>237</v>
      </c>
      <c r="E42" s="140"/>
      <c r="F42" s="54">
        <v>5</v>
      </c>
      <c r="G42" s="55">
        <v>4</v>
      </c>
      <c r="H42" s="55">
        <v>3</v>
      </c>
      <c r="I42" s="55">
        <v>2</v>
      </c>
      <c r="J42" s="56">
        <v>1</v>
      </c>
      <c r="K42" s="66"/>
      <c r="L42" s="66"/>
      <c r="M42" s="55">
        <v>2</v>
      </c>
      <c r="N42" s="55">
        <f>IF(L42=" ",M42,AVERAGE(M42,L42))</f>
        <v>2</v>
      </c>
      <c r="O42" s="55">
        <f>N42/SUM(impSPotPro)</f>
        <v>0.33333333333333331</v>
      </c>
      <c r="P42" s="56">
        <f>IF($K42=$F$3,5,IF($K42=$G$3,4,IF($K42=$H$3,3,IF($K42=$J$3,1,IF($K42=$I$3,2,0)))))</f>
        <v>0</v>
      </c>
      <c r="Q42" s="50">
        <f t="shared" si="7"/>
        <v>0</v>
      </c>
      <c r="R42" s="276"/>
      <c r="S42" s="276"/>
      <c r="T42" s="276"/>
      <c r="U42" s="276"/>
      <c r="V42" s="276"/>
      <c r="W42" s="276"/>
      <c r="X42" s="276"/>
      <c r="Y42" s="276"/>
      <c r="Z42" s="314"/>
      <c r="AA42" s="279"/>
    </row>
    <row r="43" spans="1:29" ht="47.25" outlineLevel="2" x14ac:dyDescent="0.25">
      <c r="A43" s="311" t="s">
        <v>46</v>
      </c>
      <c r="B43" s="52" t="s">
        <v>34</v>
      </c>
      <c r="C43" s="52">
        <v>22</v>
      </c>
      <c r="D43" s="53" t="s">
        <v>238</v>
      </c>
      <c r="E43" s="140"/>
      <c r="F43" s="54">
        <v>5</v>
      </c>
      <c r="G43" s="55">
        <v>4</v>
      </c>
      <c r="H43" s="55">
        <v>3</v>
      </c>
      <c r="I43" s="55">
        <v>2</v>
      </c>
      <c r="J43" s="56">
        <v>1</v>
      </c>
      <c r="K43" s="66"/>
      <c r="L43" s="66"/>
      <c r="M43" s="55">
        <v>2</v>
      </c>
      <c r="N43" s="55">
        <f>IF(L43=" ",M43,AVERAGE(M43,L43))</f>
        <v>2</v>
      </c>
      <c r="O43" s="55">
        <f>N43/SUM(impSPotPro)</f>
        <v>0.33333333333333331</v>
      </c>
      <c r="P43" s="56">
        <f>IF($K43=$F$3,5,IF($K43=$G$3,4,IF($K43=$H$3,3,IF($K43=$J$3,1,IF($K43=$I$3,2,0)))))</f>
        <v>0</v>
      </c>
      <c r="Q43" s="50">
        <f t="shared" si="7"/>
        <v>0</v>
      </c>
      <c r="R43" s="276"/>
      <c r="S43" s="276"/>
      <c r="T43" s="276"/>
      <c r="U43" s="276"/>
      <c r="V43" s="276"/>
      <c r="W43" s="276"/>
      <c r="X43" s="276"/>
      <c r="Y43" s="276"/>
      <c r="Z43" s="314"/>
      <c r="AA43" s="279"/>
    </row>
    <row r="44" spans="1:29" ht="47.25" outlineLevel="2" x14ac:dyDescent="0.25">
      <c r="A44" s="311" t="s">
        <v>46</v>
      </c>
      <c r="B44" s="52" t="s">
        <v>35</v>
      </c>
      <c r="C44" s="52">
        <v>23</v>
      </c>
      <c r="D44" s="53" t="s">
        <v>19</v>
      </c>
      <c r="E44" s="140"/>
      <c r="F44" s="54">
        <v>5</v>
      </c>
      <c r="G44" s="55">
        <v>4</v>
      </c>
      <c r="H44" s="55">
        <v>3</v>
      </c>
      <c r="I44" s="55">
        <v>2</v>
      </c>
      <c r="J44" s="56">
        <v>1</v>
      </c>
      <c r="K44" s="66"/>
      <c r="L44" s="66"/>
      <c r="M44" s="55">
        <v>2</v>
      </c>
      <c r="N44" s="55">
        <f>IF(L44=" ",M44,AVERAGE(M44,L44))</f>
        <v>2</v>
      </c>
      <c r="O44" s="55">
        <f>N44/SUM(impSPotPro)</f>
        <v>0.33333333333333331</v>
      </c>
      <c r="P44" s="56">
        <f>IF($K44=$F$3,5,IF($K44=$G$3,4,IF($K44=$H$3,3,IF($K44=$J$3,1,IF($K44=$I$3,2,0)))))</f>
        <v>0</v>
      </c>
      <c r="Q44" s="50">
        <f t="shared" si="7"/>
        <v>0</v>
      </c>
      <c r="R44" s="276"/>
      <c r="S44" s="276"/>
      <c r="T44" s="276"/>
      <c r="U44" s="276"/>
      <c r="V44" s="276"/>
      <c r="W44" s="276"/>
      <c r="X44" s="276"/>
      <c r="Y44" s="276"/>
      <c r="Z44" s="314"/>
      <c r="AA44" s="279"/>
      <c r="AC44" s="99"/>
    </row>
    <row r="45" spans="1:29" outlineLevel="1" x14ac:dyDescent="0.25">
      <c r="A45" s="65" t="s">
        <v>46</v>
      </c>
      <c r="B45" s="253" t="s">
        <v>337</v>
      </c>
      <c r="C45" s="157"/>
      <c r="D45" s="157" t="s">
        <v>121</v>
      </c>
      <c r="E45" s="142">
        <f>COUNTBLANK(statAnswProcDisc)</f>
        <v>4</v>
      </c>
      <c r="F45" s="255"/>
      <c r="G45" s="255"/>
      <c r="H45" s="255"/>
      <c r="I45" s="255"/>
      <c r="J45" s="255"/>
      <c r="K45" s="292"/>
      <c r="L45" s="292"/>
      <c r="M45" s="292"/>
      <c r="N45" s="292"/>
      <c r="O45" s="292"/>
      <c r="P45" s="292"/>
      <c r="Q45" s="292"/>
      <c r="R45" s="257">
        <v>3</v>
      </c>
      <c r="S45" s="66"/>
      <c r="T45" s="186">
        <f>IF(S45=" ",R45,AVERAGE(R45:S45))</f>
        <v>3</v>
      </c>
      <c r="U45" s="175">
        <f>IF(T45&gt;=3,3,IF(T45&gt;=2,2,IF(T45&gt;=1,1,IF(T45&gt;=0,0))))</f>
        <v>3</v>
      </c>
      <c r="V45" s="67" t="str">
        <f>IF(T45&gt;=3,Data!$A$10,IF(T45&gt;=2,Data!$A$11,IF(T45&gt;=1,Data!$A$12,IF(T45&gt;=0,Data!$A$13))))</f>
        <v>Very important</v>
      </c>
      <c r="W45" s="67">
        <f>AVERAGE(R45:S45)</f>
        <v>3</v>
      </c>
      <c r="X45" s="68">
        <f>SUM(statProc)</f>
        <v>0</v>
      </c>
      <c r="Y45" s="69">
        <f>W45/SUM(ImporOper)</f>
        <v>0.11538461538461539</v>
      </c>
      <c r="Z45" s="310">
        <f>X45*Y45</f>
        <v>0</v>
      </c>
      <c r="AA45" s="279"/>
      <c r="AC45" s="99"/>
    </row>
    <row r="46" spans="1:29" ht="31.5" outlineLevel="2" x14ac:dyDescent="0.25">
      <c r="A46" s="311" t="s">
        <v>46</v>
      </c>
      <c r="B46" s="52" t="s">
        <v>122</v>
      </c>
      <c r="C46" s="52">
        <v>33</v>
      </c>
      <c r="D46" s="53" t="s">
        <v>221</v>
      </c>
      <c r="E46" s="140"/>
      <c r="F46" s="54">
        <v>5</v>
      </c>
      <c r="G46" s="55">
        <v>4</v>
      </c>
      <c r="H46" s="55">
        <v>3</v>
      </c>
      <c r="I46" s="55">
        <v>2</v>
      </c>
      <c r="J46" s="56">
        <v>1</v>
      </c>
      <c r="K46" s="66"/>
      <c r="L46" s="66"/>
      <c r="M46" s="55">
        <v>2</v>
      </c>
      <c r="N46" s="55">
        <f>IF(L46=" ",M46,AVERAGE(M46,L46))</f>
        <v>2</v>
      </c>
      <c r="O46" s="55">
        <f>N46/SUM(impSProcess)</f>
        <v>0.25</v>
      </c>
      <c r="P46" s="56">
        <f>IF($K46=$F$3,5,IF($K46=$G$3,4,IF($K46=$H$3,3,IF($K46=$J$3,1,IF($K46=$I$3,2,0)))))</f>
        <v>0</v>
      </c>
      <c r="Q46" s="50">
        <f t="shared" si="7"/>
        <v>0</v>
      </c>
      <c r="R46" s="276"/>
      <c r="S46" s="276"/>
      <c r="T46" s="276"/>
      <c r="U46" s="276"/>
      <c r="V46" s="276"/>
      <c r="W46" s="276"/>
      <c r="X46" s="276"/>
      <c r="Y46" s="276"/>
      <c r="Z46" s="314"/>
      <c r="AA46" s="279"/>
      <c r="AC46" s="100"/>
    </row>
    <row r="47" spans="1:29" ht="63" outlineLevel="2" x14ac:dyDescent="0.25">
      <c r="A47" s="311" t="s">
        <v>46</v>
      </c>
      <c r="B47" s="52" t="s">
        <v>198</v>
      </c>
      <c r="C47" s="52">
        <v>34</v>
      </c>
      <c r="D47" s="53" t="s">
        <v>222</v>
      </c>
      <c r="E47" s="140"/>
      <c r="F47" s="54">
        <v>5</v>
      </c>
      <c r="G47" s="55">
        <v>4</v>
      </c>
      <c r="H47" s="55">
        <v>3</v>
      </c>
      <c r="I47" s="55">
        <v>2</v>
      </c>
      <c r="J47" s="56">
        <v>1</v>
      </c>
      <c r="K47" s="66"/>
      <c r="L47" s="66"/>
      <c r="M47" s="55">
        <v>2</v>
      </c>
      <c r="N47" s="55">
        <f>IF(L47=" ",M47,AVERAGE(M47,L47))</f>
        <v>2</v>
      </c>
      <c r="O47" s="55">
        <f>N47/SUM(impSProcess)</f>
        <v>0.25</v>
      </c>
      <c r="P47" s="56">
        <f>IF($K47=$F$3,5,IF($K47=$G$3,4,IF($K47=$H$3,3,IF($K47=$J$3,1,IF($K47=$I$3,2,0)))))</f>
        <v>0</v>
      </c>
      <c r="Q47" s="50">
        <f t="shared" si="7"/>
        <v>0</v>
      </c>
      <c r="R47" s="276"/>
      <c r="S47" s="276"/>
      <c r="T47" s="276"/>
      <c r="U47" s="276"/>
      <c r="V47" s="276"/>
      <c r="W47" s="276"/>
      <c r="X47" s="276"/>
      <c r="Y47" s="276"/>
      <c r="Z47" s="314"/>
      <c r="AA47" s="279"/>
    </row>
    <row r="48" spans="1:29" ht="47.25" outlineLevel="2" x14ac:dyDescent="0.25">
      <c r="A48" s="311" t="s">
        <v>46</v>
      </c>
      <c r="B48" s="52" t="s">
        <v>123</v>
      </c>
      <c r="C48" s="52">
        <v>35</v>
      </c>
      <c r="D48" s="53" t="s">
        <v>247</v>
      </c>
      <c r="E48" s="140"/>
      <c r="F48" s="54">
        <v>5</v>
      </c>
      <c r="G48" s="55">
        <v>4</v>
      </c>
      <c r="H48" s="55">
        <v>3</v>
      </c>
      <c r="I48" s="55">
        <v>2</v>
      </c>
      <c r="J48" s="56">
        <v>1</v>
      </c>
      <c r="K48" s="66"/>
      <c r="L48" s="66"/>
      <c r="M48" s="55">
        <v>2</v>
      </c>
      <c r="N48" s="55">
        <f>IF(L48=" ",M48,AVERAGE(M48,L48))</f>
        <v>2</v>
      </c>
      <c r="O48" s="55">
        <f>N48/SUM(impSProcess)</f>
        <v>0.25</v>
      </c>
      <c r="P48" s="56">
        <f>IF($K48=$F$3,5,IF($K48=$G$3,4,IF($K48=$H$3,3,IF($K48=$J$3,1,IF($K48=$I$3,2,0)))))</f>
        <v>0</v>
      </c>
      <c r="Q48" s="50">
        <f t="shared" si="7"/>
        <v>0</v>
      </c>
      <c r="R48" s="276"/>
      <c r="S48" s="276"/>
      <c r="T48" s="276"/>
      <c r="U48" s="276"/>
      <c r="V48" s="276"/>
      <c r="W48" s="276"/>
      <c r="X48" s="276"/>
      <c r="Y48" s="276"/>
      <c r="Z48" s="314"/>
      <c r="AA48" s="279"/>
    </row>
    <row r="49" spans="1:27" ht="31.5" outlineLevel="2" x14ac:dyDescent="0.25">
      <c r="A49" s="311" t="s">
        <v>46</v>
      </c>
      <c r="B49" s="52" t="s">
        <v>124</v>
      </c>
      <c r="C49" s="52">
        <v>36</v>
      </c>
      <c r="D49" s="53" t="s">
        <v>201</v>
      </c>
      <c r="E49" s="140"/>
      <c r="F49" s="54">
        <v>5</v>
      </c>
      <c r="G49" s="55">
        <v>4</v>
      </c>
      <c r="H49" s="55">
        <v>3</v>
      </c>
      <c r="I49" s="55">
        <v>2</v>
      </c>
      <c r="J49" s="56">
        <v>1</v>
      </c>
      <c r="K49" s="66"/>
      <c r="L49" s="66"/>
      <c r="M49" s="55">
        <v>2</v>
      </c>
      <c r="N49" s="55">
        <f>IF(L49=" ",M49,AVERAGE(M49,L49))</f>
        <v>2</v>
      </c>
      <c r="O49" s="55">
        <f>N49/SUM(impSProcess)</f>
        <v>0.25</v>
      </c>
      <c r="P49" s="56">
        <f>IF($K49=$F$3,5,IF($K49=$G$3,4,IF($K49=$H$3,3,IF($K49=$J$3,1,IF($K49=$I$3,2,0)))))</f>
        <v>0</v>
      </c>
      <c r="Q49" s="50">
        <f t="shared" si="7"/>
        <v>0</v>
      </c>
      <c r="R49" s="276"/>
      <c r="S49" s="276"/>
      <c r="T49" s="276"/>
      <c r="U49" s="276"/>
      <c r="V49" s="276"/>
      <c r="W49" s="276"/>
      <c r="X49" s="276"/>
      <c r="Y49" s="276"/>
      <c r="Z49" s="314"/>
      <c r="AA49" s="279"/>
    </row>
    <row r="50" spans="1:27" outlineLevel="1" x14ac:dyDescent="0.25">
      <c r="A50" s="316" t="s">
        <v>46</v>
      </c>
      <c r="B50" s="254" t="s">
        <v>337</v>
      </c>
      <c r="C50" s="157"/>
      <c r="D50" s="157" t="s">
        <v>293</v>
      </c>
      <c r="E50" s="142">
        <f>COUNTBLANK(statAnswPLAwa)</f>
        <v>3</v>
      </c>
      <c r="F50" s="255"/>
      <c r="G50" s="255"/>
      <c r="H50" s="255"/>
      <c r="I50" s="255"/>
      <c r="J50" s="255"/>
      <c r="K50" s="292"/>
      <c r="L50" s="292"/>
      <c r="M50" s="292"/>
      <c r="N50" s="292"/>
      <c r="O50" s="292"/>
      <c r="P50" s="292"/>
      <c r="Q50" s="292"/>
      <c r="R50" s="257">
        <v>3</v>
      </c>
      <c r="S50" s="66"/>
      <c r="T50" s="186">
        <f>IF(S50=" ",R50,AVERAGE(R50:S50))</f>
        <v>3</v>
      </c>
      <c r="U50" s="175">
        <f>IF(T50&gt;=3,3,IF(T50&gt;=2,2,IF(T50&gt;=1,1,IF(T50&gt;=0,0))))</f>
        <v>3</v>
      </c>
      <c r="V50" s="67" t="str">
        <f>IF(T50&gt;=3,Data!$A$10,IF(T50&gt;=2,Data!$A$11,IF(T50&gt;=1,Data!$A$12,IF(T50&gt;=0,Data!$A$13))))</f>
        <v>Very important</v>
      </c>
      <c r="W50" s="67">
        <f>AVERAGE(R50:S50)</f>
        <v>3</v>
      </c>
      <c r="X50" s="68">
        <f>SUM(statPLAwar)</f>
        <v>0</v>
      </c>
      <c r="Y50" s="69">
        <f>W50/SUM(ImporOper)</f>
        <v>0.11538461538461539</v>
      </c>
      <c r="Z50" s="310">
        <f>X50*Y50</f>
        <v>0</v>
      </c>
      <c r="AA50" s="279"/>
    </row>
    <row r="51" spans="1:27" ht="63" outlineLevel="2" x14ac:dyDescent="0.25">
      <c r="A51" s="71" t="s">
        <v>46</v>
      </c>
      <c r="B51" s="52" t="s">
        <v>146</v>
      </c>
      <c r="C51" s="52">
        <v>37</v>
      </c>
      <c r="D51" s="53" t="s">
        <v>223</v>
      </c>
      <c r="E51" s="140"/>
      <c r="F51" s="54">
        <v>5</v>
      </c>
      <c r="G51" s="55">
        <v>4</v>
      </c>
      <c r="H51" s="55">
        <v>3</v>
      </c>
      <c r="I51" s="55">
        <v>2</v>
      </c>
      <c r="J51" s="56">
        <v>1</v>
      </c>
      <c r="K51" s="66"/>
      <c r="L51" s="66"/>
      <c r="M51" s="55">
        <v>2</v>
      </c>
      <c r="N51" s="55">
        <f>IF(L51=" ",M51,AVERAGE(M51,L51))</f>
        <v>2</v>
      </c>
      <c r="O51" s="55">
        <f>N51/SUM(impSPLAw)</f>
        <v>0.33333333333333331</v>
      </c>
      <c r="P51" s="56">
        <f>IF($K51=$F$3,5,IF($K51=$G$3,4,IF($K51=$H$3,3,IF($K51=$J$3,1,IF($K51=$I$3,2,0)))))</f>
        <v>0</v>
      </c>
      <c r="Q51" s="50">
        <f t="shared" si="7"/>
        <v>0</v>
      </c>
      <c r="R51" s="276"/>
      <c r="S51" s="276"/>
      <c r="T51" s="276"/>
      <c r="U51" s="276"/>
      <c r="V51" s="276"/>
      <c r="W51" s="276"/>
      <c r="X51" s="276"/>
      <c r="Y51" s="276"/>
      <c r="Z51" s="314"/>
      <c r="AA51" s="279"/>
    </row>
    <row r="52" spans="1:27" ht="47.25" outlineLevel="2" x14ac:dyDescent="0.25">
      <c r="A52" s="71" t="s">
        <v>46</v>
      </c>
      <c r="B52" s="52" t="s">
        <v>145</v>
      </c>
      <c r="C52" s="52">
        <v>38</v>
      </c>
      <c r="D52" s="53" t="s">
        <v>248</v>
      </c>
      <c r="E52" s="140"/>
      <c r="F52" s="54">
        <v>5</v>
      </c>
      <c r="G52" s="55">
        <v>4</v>
      </c>
      <c r="H52" s="55">
        <v>3</v>
      </c>
      <c r="I52" s="55">
        <v>2</v>
      </c>
      <c r="J52" s="56">
        <v>1</v>
      </c>
      <c r="K52" s="66"/>
      <c r="L52" s="66"/>
      <c r="M52" s="55">
        <v>2</v>
      </c>
      <c r="N52" s="55">
        <f>IF(L52=" ",M52,AVERAGE(M52,L52))</f>
        <v>2</v>
      </c>
      <c r="O52" s="55">
        <f>N52/SUM(impSPLAw)</f>
        <v>0.33333333333333331</v>
      </c>
      <c r="P52" s="56">
        <f>IF($K52=$F$3,5,IF($K52=$G$3,4,IF($K52=$H$3,3,IF($K52=$J$3,1,IF($K52=$I$3,2,0)))))</f>
        <v>0</v>
      </c>
      <c r="Q52" s="50">
        <f t="shared" si="7"/>
        <v>0</v>
      </c>
      <c r="R52" s="276"/>
      <c r="S52" s="276"/>
      <c r="T52" s="276"/>
      <c r="U52" s="276"/>
      <c r="V52" s="276"/>
      <c r="W52" s="276"/>
      <c r="X52" s="276"/>
      <c r="Y52" s="276"/>
      <c r="Z52" s="314"/>
      <c r="AA52" s="279"/>
    </row>
    <row r="53" spans="1:27" ht="47.25" outlineLevel="2" x14ac:dyDescent="0.25">
      <c r="A53" s="71" t="s">
        <v>46</v>
      </c>
      <c r="B53" s="52" t="s">
        <v>144</v>
      </c>
      <c r="C53" s="52">
        <v>39</v>
      </c>
      <c r="D53" s="53" t="s">
        <v>249</v>
      </c>
      <c r="E53" s="140"/>
      <c r="F53" s="54">
        <v>5</v>
      </c>
      <c r="G53" s="55">
        <v>4</v>
      </c>
      <c r="H53" s="55">
        <v>3</v>
      </c>
      <c r="I53" s="55">
        <v>2</v>
      </c>
      <c r="J53" s="56">
        <v>1</v>
      </c>
      <c r="K53" s="66"/>
      <c r="L53" s="66"/>
      <c r="M53" s="55">
        <v>2</v>
      </c>
      <c r="N53" s="55">
        <f>IF(L53=" ",M53,AVERAGE(M53,L53))</f>
        <v>2</v>
      </c>
      <c r="O53" s="55">
        <f>N53/SUM(impSPLAw)</f>
        <v>0.33333333333333331</v>
      </c>
      <c r="P53" s="56">
        <f>IF($K53=$F$3,5,IF($K53=$G$3,4,IF($K53=$H$3,3,IF($K53=$J$3,1,IF($K53=$I$3,2,0)))))</f>
        <v>0</v>
      </c>
      <c r="Q53" s="50">
        <f t="shared" si="7"/>
        <v>0</v>
      </c>
      <c r="R53" s="276"/>
      <c r="S53" s="276"/>
      <c r="T53" s="276"/>
      <c r="U53" s="276"/>
      <c r="V53" s="276"/>
      <c r="W53" s="276"/>
      <c r="X53" s="276"/>
      <c r="Y53" s="276"/>
      <c r="Z53" s="314"/>
      <c r="AA53" s="279"/>
    </row>
    <row r="54" spans="1:27" ht="29.25" x14ac:dyDescent="0.25">
      <c r="A54" s="280" t="str">
        <f>Data!C12</f>
        <v>Technical</v>
      </c>
      <c r="B54" s="281"/>
      <c r="C54" s="281"/>
      <c r="D54" s="281"/>
      <c r="E54" s="281"/>
      <c r="F54" s="281"/>
      <c r="G54" s="281"/>
      <c r="H54" s="281"/>
      <c r="I54" s="281"/>
      <c r="J54" s="281"/>
      <c r="K54" s="281"/>
      <c r="L54" s="281"/>
      <c r="M54" s="281"/>
      <c r="N54" s="281"/>
      <c r="O54" s="281"/>
      <c r="P54" s="281"/>
      <c r="Q54" s="281"/>
      <c r="R54" s="281"/>
      <c r="S54" s="281"/>
      <c r="T54" s="281"/>
      <c r="U54" s="281"/>
      <c r="V54" s="281"/>
      <c r="W54" s="281"/>
      <c r="X54" s="281"/>
      <c r="Y54" s="281"/>
      <c r="Z54" s="309"/>
      <c r="AA54" s="98">
        <f>Z55+Z59+Z67+Z75</f>
        <v>0</v>
      </c>
    </row>
    <row r="55" spans="1:27" outlineLevel="1" x14ac:dyDescent="0.25">
      <c r="A55" s="65" t="s">
        <v>46</v>
      </c>
      <c r="B55" s="157" t="s">
        <v>109</v>
      </c>
      <c r="C55" s="157"/>
      <c r="D55" s="157" t="s">
        <v>306</v>
      </c>
      <c r="E55" s="142">
        <f>COUNTBLANK(statAnswCommVar)</f>
        <v>3</v>
      </c>
      <c r="F55" s="255"/>
      <c r="G55" s="255"/>
      <c r="H55" s="255"/>
      <c r="I55" s="255"/>
      <c r="J55" s="255"/>
      <c r="K55" s="292"/>
      <c r="L55" s="292"/>
      <c r="M55" s="292"/>
      <c r="N55" s="292"/>
      <c r="O55" s="292"/>
      <c r="P55" s="292"/>
      <c r="Q55" s="292"/>
      <c r="R55" s="257">
        <v>3</v>
      </c>
      <c r="S55" s="66"/>
      <c r="T55" s="186">
        <f>IF(S55=" ",R55,AVERAGE(R55:S55))</f>
        <v>3</v>
      </c>
      <c r="U55" s="175">
        <f>IF(T55&gt;=3,3,IF(T55&gt;=2,2,IF(T55&gt;=1,1,IF(T55&gt;=0,0))))</f>
        <v>3</v>
      </c>
      <c r="V55" s="67" t="str">
        <f>IF(T55&gt;=3,Data!$A$10,IF(T55&gt;=2,Data!$A$11,IF(T55&gt;=1,Data!$A$12,IF(T55&gt;=0,Data!$A$13))))</f>
        <v>Very important</v>
      </c>
      <c r="W55" s="67">
        <f>AVERAGE(R55:S55)</f>
        <v>3</v>
      </c>
      <c r="X55" s="68">
        <f>SUM(statComVar)</f>
        <v>0</v>
      </c>
      <c r="Y55" s="69">
        <f>W55/SUM(imporTec)</f>
        <v>0.3</v>
      </c>
      <c r="Z55" s="310">
        <f>X55*Y55</f>
        <v>0</v>
      </c>
      <c r="AA55" s="272"/>
    </row>
    <row r="56" spans="1:27" ht="31.5" outlineLevel="2" x14ac:dyDescent="0.25">
      <c r="A56" s="71" t="s">
        <v>46</v>
      </c>
      <c r="B56" s="52" t="s">
        <v>132</v>
      </c>
      <c r="C56" s="52">
        <v>40</v>
      </c>
      <c r="D56" s="53" t="s">
        <v>133</v>
      </c>
      <c r="E56" s="140"/>
      <c r="F56" s="54">
        <v>5</v>
      </c>
      <c r="G56" s="55">
        <v>4</v>
      </c>
      <c r="H56" s="55">
        <v>3</v>
      </c>
      <c r="I56" s="55">
        <v>2</v>
      </c>
      <c r="J56" s="56">
        <v>1</v>
      </c>
      <c r="K56" s="66"/>
      <c r="L56" s="66"/>
      <c r="M56" s="55">
        <v>2</v>
      </c>
      <c r="N56" s="55">
        <f>IF(L56=" ",M56,AVERAGE(M56,L56))</f>
        <v>2</v>
      </c>
      <c r="O56" s="55">
        <f>N56/SUM(impSComVar)</f>
        <v>0.33333333333333331</v>
      </c>
      <c r="P56" s="56">
        <f>IF($K56=$F$3,5,IF($K56=$G$3,4,IF($K56=$H$3,3,IF($K56=$J$3,1,IF($K56=$I$3,2,0)))))</f>
        <v>0</v>
      </c>
      <c r="Q56" s="50">
        <f>P56*O56</f>
        <v>0</v>
      </c>
      <c r="R56" s="277"/>
      <c r="S56" s="277"/>
      <c r="T56" s="277"/>
      <c r="U56" s="277"/>
      <c r="V56" s="277"/>
      <c r="W56" s="277"/>
      <c r="X56" s="277"/>
      <c r="Y56" s="277"/>
      <c r="Z56" s="317"/>
      <c r="AA56" s="272"/>
    </row>
    <row r="57" spans="1:27" ht="31.5" outlineLevel="2" x14ac:dyDescent="0.25">
      <c r="A57" s="71" t="s">
        <v>46</v>
      </c>
      <c r="B57" s="52" t="s">
        <v>135</v>
      </c>
      <c r="C57" s="52">
        <v>41</v>
      </c>
      <c r="D57" s="53" t="s">
        <v>134</v>
      </c>
      <c r="E57" s="140"/>
      <c r="F57" s="54">
        <v>5</v>
      </c>
      <c r="G57" s="55">
        <v>4</v>
      </c>
      <c r="H57" s="55">
        <v>3</v>
      </c>
      <c r="I57" s="55">
        <v>2</v>
      </c>
      <c r="J57" s="56">
        <v>1</v>
      </c>
      <c r="K57" s="66"/>
      <c r="L57" s="66"/>
      <c r="M57" s="55">
        <v>2</v>
      </c>
      <c r="N57" s="55">
        <f>IF(L57=" ",M57,AVERAGE(M57,L57))</f>
        <v>2</v>
      </c>
      <c r="O57" s="55">
        <f>N57/SUM(impSComVar)</f>
        <v>0.33333333333333331</v>
      </c>
      <c r="P57" s="56">
        <f>IF($K57=$F$3,5,IF($K57=$G$3,4,IF($K57=$H$3,3,IF($K57=$J$3,1,IF($K57=$I$3,2,0)))))</f>
        <v>0</v>
      </c>
      <c r="Q57" s="50">
        <f>P57*O57</f>
        <v>0</v>
      </c>
      <c r="R57" s="277"/>
      <c r="S57" s="277"/>
      <c r="T57" s="277"/>
      <c r="U57" s="277"/>
      <c r="V57" s="277"/>
      <c r="W57" s="277"/>
      <c r="X57" s="277"/>
      <c r="Y57" s="277"/>
      <c r="Z57" s="317"/>
      <c r="AA57" s="272"/>
    </row>
    <row r="58" spans="1:27" ht="31.5" outlineLevel="2" x14ac:dyDescent="0.25">
      <c r="A58" s="71" t="s">
        <v>46</v>
      </c>
      <c r="B58" s="52" t="s">
        <v>136</v>
      </c>
      <c r="C58" s="52">
        <v>42</v>
      </c>
      <c r="D58" s="53" t="s">
        <v>274</v>
      </c>
      <c r="E58" s="140"/>
      <c r="F58" s="54">
        <v>5</v>
      </c>
      <c r="G58" s="55">
        <v>4</v>
      </c>
      <c r="H58" s="55">
        <v>3</v>
      </c>
      <c r="I58" s="55">
        <v>2</v>
      </c>
      <c r="J58" s="56">
        <v>1</v>
      </c>
      <c r="K58" s="66"/>
      <c r="L58" s="66"/>
      <c r="M58" s="55">
        <v>2</v>
      </c>
      <c r="N58" s="55">
        <f>IF(L58=" ",M58,AVERAGE(M58,L58))</f>
        <v>2</v>
      </c>
      <c r="O58" s="55">
        <f>N58/SUM(impSComVar)</f>
        <v>0.33333333333333331</v>
      </c>
      <c r="P58" s="56">
        <f>IF($K58=$F$3,5,IF($K58=$G$3,4,IF($K58=$H$3,3,IF($K58=$J$3,1,IF($K58=$I$3,2,0)))))</f>
        <v>0</v>
      </c>
      <c r="Q58" s="50">
        <f>P58*O58</f>
        <v>0</v>
      </c>
      <c r="R58" s="277"/>
      <c r="S58" s="277"/>
      <c r="T58" s="277"/>
      <c r="U58" s="277"/>
      <c r="V58" s="277"/>
      <c r="W58" s="277"/>
      <c r="X58" s="277"/>
      <c r="Y58" s="277"/>
      <c r="Z58" s="317"/>
      <c r="AA58" s="272"/>
    </row>
    <row r="59" spans="1:27" outlineLevel="1" x14ac:dyDescent="0.25">
      <c r="A59" s="65" t="s">
        <v>46</v>
      </c>
      <c r="B59" s="157" t="s">
        <v>109</v>
      </c>
      <c r="C59" s="157"/>
      <c r="D59" s="157" t="s">
        <v>159</v>
      </c>
      <c r="E59" s="142">
        <f>COUNTBLANK(statAnswReuseApt)</f>
        <v>7</v>
      </c>
      <c r="F59" s="255"/>
      <c r="G59" s="255"/>
      <c r="H59" s="255"/>
      <c r="I59" s="255"/>
      <c r="J59" s="255"/>
      <c r="K59" s="292"/>
      <c r="L59" s="292"/>
      <c r="M59" s="292"/>
      <c r="N59" s="292"/>
      <c r="O59" s="292"/>
      <c r="P59" s="292"/>
      <c r="Q59" s="292"/>
      <c r="R59" s="257">
        <v>1</v>
      </c>
      <c r="S59" s="66"/>
      <c r="T59" s="186">
        <f>IF(S59=" ",R59,AVERAGE(R59:S59))</f>
        <v>1</v>
      </c>
      <c r="U59" s="175">
        <f>IF(T59&gt;=3,3,IF(T59&gt;=2,2,IF(T59&gt;=1,1,IF(T59&gt;=0,0))))</f>
        <v>1</v>
      </c>
      <c r="V59" s="67" t="str">
        <f>IF(T59&gt;=3,Data!$A$10,IF(T59&gt;=2,Data!$A$11,IF(T59&gt;=1,Data!$A$12,IF(T59&gt;=0,Data!$A$13))))</f>
        <v>Desirable</v>
      </c>
      <c r="W59" s="67">
        <f>AVERAGE(R59:S59)</f>
        <v>1</v>
      </c>
      <c r="X59" s="68">
        <f>SUM(statReuseApt)</f>
        <v>0</v>
      </c>
      <c r="Y59" s="69">
        <f>W59/SUM(imporTec)</f>
        <v>0.1</v>
      </c>
      <c r="Z59" s="310">
        <f>X59*Y59</f>
        <v>0</v>
      </c>
      <c r="AA59" s="272"/>
    </row>
    <row r="60" spans="1:27" ht="47.25" outlineLevel="2" x14ac:dyDescent="0.25">
      <c r="A60" s="71" t="s">
        <v>46</v>
      </c>
      <c r="B60" s="52" t="s">
        <v>174</v>
      </c>
      <c r="C60" s="52">
        <v>55</v>
      </c>
      <c r="D60" s="53" t="s">
        <v>258</v>
      </c>
      <c r="E60" s="140"/>
      <c r="F60" s="54">
        <v>5</v>
      </c>
      <c r="G60" s="55">
        <v>4</v>
      </c>
      <c r="H60" s="55">
        <v>3</v>
      </c>
      <c r="I60" s="55">
        <v>2</v>
      </c>
      <c r="J60" s="56">
        <v>1</v>
      </c>
      <c r="K60" s="66"/>
      <c r="L60" s="66"/>
      <c r="M60" s="55">
        <v>2</v>
      </c>
      <c r="N60" s="55">
        <f t="shared" ref="N60:N66" si="8">IF(L60=" ",M60,AVERAGE(M60,L60))</f>
        <v>2</v>
      </c>
      <c r="O60" s="55">
        <f t="shared" ref="O60:O66" si="9">N60/SUM(impSReuseApt)</f>
        <v>0.14285714285714285</v>
      </c>
      <c r="P60" s="56">
        <f t="shared" ref="P60:P66" si="10">IF($K60=$F$3,5,IF($K60=$G$3,4,IF($K60=$H$3,3,IF($K60=$J$3,1,IF($K60=$I$3,2,0)))))</f>
        <v>0</v>
      </c>
      <c r="Q60" s="50">
        <f t="shared" ref="Q60:Q66" si="11">P60*O60</f>
        <v>0</v>
      </c>
      <c r="R60" s="277"/>
      <c r="S60" s="277"/>
      <c r="T60" s="277"/>
      <c r="U60" s="277"/>
      <c r="V60" s="277"/>
      <c r="W60" s="277"/>
      <c r="X60" s="277"/>
      <c r="Y60" s="277"/>
      <c r="Z60" s="317"/>
      <c r="AA60" s="272"/>
    </row>
    <row r="61" spans="1:27" ht="47.25" outlineLevel="2" x14ac:dyDescent="0.25">
      <c r="A61" s="71" t="s">
        <v>46</v>
      </c>
      <c r="B61" s="52" t="s">
        <v>160</v>
      </c>
      <c r="C61" s="52">
        <v>56</v>
      </c>
      <c r="D61" s="53" t="s">
        <v>259</v>
      </c>
      <c r="E61" s="140"/>
      <c r="F61" s="54">
        <v>5</v>
      </c>
      <c r="G61" s="55">
        <v>4</v>
      </c>
      <c r="H61" s="55">
        <v>3</v>
      </c>
      <c r="I61" s="55">
        <v>2</v>
      </c>
      <c r="J61" s="56">
        <v>1</v>
      </c>
      <c r="K61" s="66"/>
      <c r="L61" s="66"/>
      <c r="M61" s="55">
        <v>2</v>
      </c>
      <c r="N61" s="55">
        <f t="shared" si="8"/>
        <v>2</v>
      </c>
      <c r="O61" s="55">
        <f t="shared" si="9"/>
        <v>0.14285714285714285</v>
      </c>
      <c r="P61" s="56">
        <f t="shared" si="10"/>
        <v>0</v>
      </c>
      <c r="Q61" s="50">
        <f t="shared" si="11"/>
        <v>0</v>
      </c>
      <c r="R61" s="277"/>
      <c r="S61" s="277"/>
      <c r="T61" s="277"/>
      <c r="U61" s="277"/>
      <c r="V61" s="277"/>
      <c r="W61" s="277"/>
      <c r="X61" s="277"/>
      <c r="Y61" s="277"/>
      <c r="Z61" s="317"/>
      <c r="AA61" s="272"/>
    </row>
    <row r="62" spans="1:27" ht="63" outlineLevel="2" x14ac:dyDescent="0.25">
      <c r="A62" s="71" t="s">
        <v>46</v>
      </c>
      <c r="B62" s="52" t="s">
        <v>163</v>
      </c>
      <c r="C62" s="52">
        <v>57</v>
      </c>
      <c r="D62" s="53" t="s">
        <v>276</v>
      </c>
      <c r="E62" s="140"/>
      <c r="F62" s="54">
        <v>5</v>
      </c>
      <c r="G62" s="55">
        <v>4</v>
      </c>
      <c r="H62" s="55">
        <v>3</v>
      </c>
      <c r="I62" s="55">
        <v>2</v>
      </c>
      <c r="J62" s="56">
        <v>1</v>
      </c>
      <c r="K62" s="66"/>
      <c r="L62" s="66"/>
      <c r="M62" s="55">
        <v>2</v>
      </c>
      <c r="N62" s="55">
        <f t="shared" si="8"/>
        <v>2</v>
      </c>
      <c r="O62" s="55">
        <f t="shared" si="9"/>
        <v>0.14285714285714285</v>
      </c>
      <c r="P62" s="56">
        <f t="shared" si="10"/>
        <v>0</v>
      </c>
      <c r="Q62" s="50">
        <f t="shared" si="11"/>
        <v>0</v>
      </c>
      <c r="R62" s="277"/>
      <c r="S62" s="277"/>
      <c r="T62" s="277"/>
      <c r="U62" s="277"/>
      <c r="V62" s="277"/>
      <c r="W62" s="277"/>
      <c r="X62" s="277"/>
      <c r="Y62" s="277"/>
      <c r="Z62" s="317"/>
      <c r="AA62" s="272"/>
    </row>
    <row r="63" spans="1:27" ht="63" outlineLevel="2" x14ac:dyDescent="0.25">
      <c r="A63" s="71" t="s">
        <v>46</v>
      </c>
      <c r="B63" s="52" t="s">
        <v>179</v>
      </c>
      <c r="C63" s="52">
        <v>58</v>
      </c>
      <c r="D63" s="53" t="s">
        <v>260</v>
      </c>
      <c r="E63" s="140"/>
      <c r="F63" s="54">
        <v>5</v>
      </c>
      <c r="G63" s="55">
        <v>4</v>
      </c>
      <c r="H63" s="55">
        <v>3</v>
      </c>
      <c r="I63" s="55">
        <v>2</v>
      </c>
      <c r="J63" s="56">
        <v>1</v>
      </c>
      <c r="K63" s="66"/>
      <c r="L63" s="66"/>
      <c r="M63" s="55">
        <v>2</v>
      </c>
      <c r="N63" s="55">
        <f t="shared" si="8"/>
        <v>2</v>
      </c>
      <c r="O63" s="55">
        <f t="shared" si="9"/>
        <v>0.14285714285714285</v>
      </c>
      <c r="P63" s="56">
        <f t="shared" si="10"/>
        <v>0</v>
      </c>
      <c r="Q63" s="50">
        <f t="shared" si="11"/>
        <v>0</v>
      </c>
      <c r="R63" s="277"/>
      <c r="S63" s="277"/>
      <c r="T63" s="277"/>
      <c r="U63" s="277"/>
      <c r="V63" s="277"/>
      <c r="W63" s="277"/>
      <c r="X63" s="277"/>
      <c r="Y63" s="277"/>
      <c r="Z63" s="317"/>
      <c r="AA63" s="272"/>
    </row>
    <row r="64" spans="1:27" ht="31.5" outlineLevel="2" x14ac:dyDescent="0.25">
      <c r="A64" s="71" t="s">
        <v>46</v>
      </c>
      <c r="B64" s="52" t="s">
        <v>166</v>
      </c>
      <c r="C64" s="52">
        <v>59</v>
      </c>
      <c r="D64" s="53" t="s">
        <v>261</v>
      </c>
      <c r="E64" s="140"/>
      <c r="F64" s="54">
        <v>5</v>
      </c>
      <c r="G64" s="55">
        <v>4</v>
      </c>
      <c r="H64" s="55">
        <v>3</v>
      </c>
      <c r="I64" s="55">
        <v>2</v>
      </c>
      <c r="J64" s="56">
        <v>1</v>
      </c>
      <c r="K64" s="66"/>
      <c r="L64" s="66"/>
      <c r="M64" s="55">
        <v>2</v>
      </c>
      <c r="N64" s="55">
        <f t="shared" si="8"/>
        <v>2</v>
      </c>
      <c r="O64" s="55">
        <f t="shared" si="9"/>
        <v>0.14285714285714285</v>
      </c>
      <c r="P64" s="56">
        <f t="shared" si="10"/>
        <v>0</v>
      </c>
      <c r="Q64" s="50">
        <f t="shared" si="11"/>
        <v>0</v>
      </c>
      <c r="R64" s="277"/>
      <c r="S64" s="277"/>
      <c r="T64" s="277"/>
      <c r="U64" s="277"/>
      <c r="V64" s="277"/>
      <c r="W64" s="277"/>
      <c r="X64" s="277"/>
      <c r="Y64" s="277"/>
      <c r="Z64" s="317"/>
      <c r="AA64" s="272"/>
    </row>
    <row r="65" spans="1:30" ht="31.5" outlineLevel="2" x14ac:dyDescent="0.25">
      <c r="A65" s="71" t="s">
        <v>46</v>
      </c>
      <c r="B65" s="52" t="s">
        <v>179</v>
      </c>
      <c r="C65" s="52">
        <v>60</v>
      </c>
      <c r="D65" s="53" t="s">
        <v>262</v>
      </c>
      <c r="E65" s="140"/>
      <c r="F65" s="54">
        <v>5</v>
      </c>
      <c r="G65" s="55">
        <v>4</v>
      </c>
      <c r="H65" s="55">
        <v>3</v>
      </c>
      <c r="I65" s="55">
        <v>2</v>
      </c>
      <c r="J65" s="56">
        <v>1</v>
      </c>
      <c r="K65" s="66"/>
      <c r="L65" s="66"/>
      <c r="M65" s="55">
        <v>2</v>
      </c>
      <c r="N65" s="55">
        <f t="shared" si="8"/>
        <v>2</v>
      </c>
      <c r="O65" s="55">
        <f t="shared" si="9"/>
        <v>0.14285714285714285</v>
      </c>
      <c r="P65" s="56">
        <f t="shared" si="10"/>
        <v>0</v>
      </c>
      <c r="Q65" s="50">
        <f t="shared" si="11"/>
        <v>0</v>
      </c>
      <c r="R65" s="277"/>
      <c r="S65" s="277"/>
      <c r="T65" s="277"/>
      <c r="U65" s="277"/>
      <c r="V65" s="277"/>
      <c r="W65" s="277"/>
      <c r="X65" s="277"/>
      <c r="Y65" s="277"/>
      <c r="Z65" s="317"/>
      <c r="AA65" s="272"/>
    </row>
    <row r="66" spans="1:30" ht="47.25" outlineLevel="2" x14ac:dyDescent="0.25">
      <c r="A66" s="71" t="s">
        <v>46</v>
      </c>
      <c r="B66" s="52" t="s">
        <v>175</v>
      </c>
      <c r="C66" s="52">
        <v>61</v>
      </c>
      <c r="D66" s="53" t="s">
        <v>263</v>
      </c>
      <c r="E66" s="140"/>
      <c r="F66" s="54">
        <v>5</v>
      </c>
      <c r="G66" s="55">
        <v>4</v>
      </c>
      <c r="H66" s="55">
        <v>3</v>
      </c>
      <c r="I66" s="55">
        <v>2</v>
      </c>
      <c r="J66" s="56">
        <v>1</v>
      </c>
      <c r="K66" s="66"/>
      <c r="L66" s="66"/>
      <c r="M66" s="55">
        <v>2</v>
      </c>
      <c r="N66" s="55">
        <f t="shared" si="8"/>
        <v>2</v>
      </c>
      <c r="O66" s="55">
        <f t="shared" si="9"/>
        <v>0.14285714285714285</v>
      </c>
      <c r="P66" s="56">
        <f t="shared" si="10"/>
        <v>0</v>
      </c>
      <c r="Q66" s="50">
        <f t="shared" si="11"/>
        <v>0</v>
      </c>
      <c r="R66" s="277"/>
      <c r="S66" s="277"/>
      <c r="T66" s="277"/>
      <c r="U66" s="277"/>
      <c r="V66" s="277"/>
      <c r="W66" s="277"/>
      <c r="X66" s="277"/>
      <c r="Y66" s="277"/>
      <c r="Z66" s="317"/>
      <c r="AA66" s="272"/>
    </row>
    <row r="67" spans="1:30" outlineLevel="1" x14ac:dyDescent="0.25">
      <c r="A67" s="65" t="s">
        <v>46</v>
      </c>
      <c r="B67" s="157" t="s">
        <v>109</v>
      </c>
      <c r="C67" s="157"/>
      <c r="D67" s="157" t="s">
        <v>143</v>
      </c>
      <c r="E67" s="142">
        <f>COUNTBLANK(statAnswReusePot)</f>
        <v>7</v>
      </c>
      <c r="F67" s="255"/>
      <c r="G67" s="255"/>
      <c r="H67" s="255"/>
      <c r="I67" s="255"/>
      <c r="J67" s="255"/>
      <c r="K67" s="292"/>
      <c r="L67" s="292"/>
      <c r="M67" s="292"/>
      <c r="N67" s="292"/>
      <c r="O67" s="292"/>
      <c r="P67" s="292"/>
      <c r="Q67" s="292"/>
      <c r="R67" s="257">
        <v>3</v>
      </c>
      <c r="S67" s="66"/>
      <c r="T67" s="186">
        <f>IF(S67=" ",R67,AVERAGE(R67:S67))</f>
        <v>3</v>
      </c>
      <c r="U67" s="175">
        <f>IF(T67&gt;=3,3,IF(T67&gt;=2,2,IF(T67&gt;=1,1,IF(T67&gt;=0,0))))</f>
        <v>3</v>
      </c>
      <c r="V67" s="67" t="str">
        <f>IF(T67&gt;=3,Data!$A$10,IF(T67&gt;=2,Data!$A$11,IF(T67&gt;=1,Data!$A$12,IF(T67&gt;=0,Data!$A$13))))</f>
        <v>Very important</v>
      </c>
      <c r="W67" s="67">
        <f>AVERAGE(R67:S67)</f>
        <v>3</v>
      </c>
      <c r="X67" s="68">
        <f>SUM(statReusePot)</f>
        <v>0</v>
      </c>
      <c r="Y67" s="69">
        <f>W67/SUM(imporTec)</f>
        <v>0.3</v>
      </c>
      <c r="Z67" s="310">
        <f>X67*Y67</f>
        <v>0</v>
      </c>
      <c r="AA67" s="272"/>
      <c r="AD67" s="139" t="s">
        <v>8</v>
      </c>
    </row>
    <row r="68" spans="1:30" ht="47.25" outlineLevel="2" x14ac:dyDescent="0.25">
      <c r="A68" s="71" t="s">
        <v>46</v>
      </c>
      <c r="B68" s="52" t="s">
        <v>155</v>
      </c>
      <c r="C68" s="52">
        <v>48</v>
      </c>
      <c r="D68" s="53" t="s">
        <v>164</v>
      </c>
      <c r="E68" s="140"/>
      <c r="F68" s="54">
        <v>5</v>
      </c>
      <c r="G68" s="55">
        <v>4</v>
      </c>
      <c r="H68" s="55">
        <v>3</v>
      </c>
      <c r="I68" s="55">
        <v>2</v>
      </c>
      <c r="J68" s="56">
        <v>1</v>
      </c>
      <c r="K68" s="66"/>
      <c r="L68" s="66"/>
      <c r="M68" s="55">
        <v>2</v>
      </c>
      <c r="N68" s="55">
        <f t="shared" ref="N68:N74" si="12">IF(L68=" ",M68,AVERAGE(M68,L68))</f>
        <v>2</v>
      </c>
      <c r="O68" s="55">
        <f t="shared" ref="O68:O74" si="13">N68/SUM(impSReusePot)</f>
        <v>0.14285714285714285</v>
      </c>
      <c r="P68" s="56">
        <f t="shared" ref="P68:P73" si="14">IF($K68=$F$3,5,IF($K68=$G$3,4,IF($K68=$H$3,3,IF($K68=$J$3,1,IF($K68=$I$3,2,0)))))</f>
        <v>0</v>
      </c>
      <c r="Q68" s="50">
        <f t="shared" ref="Q68:Q74" si="15">P68*O68</f>
        <v>0</v>
      </c>
      <c r="R68" s="277"/>
      <c r="S68" s="277"/>
      <c r="T68" s="277"/>
      <c r="U68" s="277"/>
      <c r="V68" s="277"/>
      <c r="W68" s="277"/>
      <c r="X68" s="277"/>
      <c r="Y68" s="277"/>
      <c r="Z68" s="317"/>
      <c r="AA68" s="272"/>
    </row>
    <row r="69" spans="1:30" ht="47.25" outlineLevel="2" x14ac:dyDescent="0.25">
      <c r="A69" s="71" t="s">
        <v>46</v>
      </c>
      <c r="B69" s="52" t="s">
        <v>156</v>
      </c>
      <c r="C69" s="52">
        <v>49</v>
      </c>
      <c r="D69" s="53" t="s">
        <v>177</v>
      </c>
      <c r="E69" s="140"/>
      <c r="F69" s="54">
        <v>5</v>
      </c>
      <c r="G69" s="55">
        <v>4</v>
      </c>
      <c r="H69" s="55">
        <v>3</v>
      </c>
      <c r="I69" s="55">
        <v>2</v>
      </c>
      <c r="J69" s="56">
        <v>1</v>
      </c>
      <c r="K69" s="66"/>
      <c r="L69" s="66"/>
      <c r="M69" s="55">
        <v>2</v>
      </c>
      <c r="N69" s="55">
        <f t="shared" si="12"/>
        <v>2</v>
      </c>
      <c r="O69" s="55">
        <f t="shared" si="13"/>
        <v>0.14285714285714285</v>
      </c>
      <c r="P69" s="56">
        <f t="shared" si="14"/>
        <v>0</v>
      </c>
      <c r="Q69" s="50">
        <f t="shared" si="15"/>
        <v>0</v>
      </c>
      <c r="R69" s="277"/>
      <c r="S69" s="277"/>
      <c r="T69" s="277"/>
      <c r="U69" s="277"/>
      <c r="V69" s="277"/>
      <c r="W69" s="277"/>
      <c r="X69" s="277"/>
      <c r="Y69" s="277"/>
      <c r="Z69" s="317"/>
      <c r="AA69" s="272"/>
    </row>
    <row r="70" spans="1:30" ht="47.25" outlineLevel="2" x14ac:dyDescent="0.25">
      <c r="A70" s="71" t="s">
        <v>46</v>
      </c>
      <c r="B70" s="52" t="s">
        <v>161</v>
      </c>
      <c r="C70" s="52">
        <v>50</v>
      </c>
      <c r="D70" s="53" t="s">
        <v>162</v>
      </c>
      <c r="E70" s="140"/>
      <c r="F70" s="54">
        <v>5</v>
      </c>
      <c r="G70" s="55">
        <v>4</v>
      </c>
      <c r="H70" s="55">
        <v>3</v>
      </c>
      <c r="I70" s="55">
        <v>2</v>
      </c>
      <c r="J70" s="56">
        <v>1</v>
      </c>
      <c r="K70" s="66"/>
      <c r="L70" s="66"/>
      <c r="M70" s="55">
        <v>2</v>
      </c>
      <c r="N70" s="55">
        <f t="shared" si="12"/>
        <v>2</v>
      </c>
      <c r="O70" s="55">
        <f t="shared" si="13"/>
        <v>0.14285714285714285</v>
      </c>
      <c r="P70" s="56">
        <f t="shared" si="14"/>
        <v>0</v>
      </c>
      <c r="Q70" s="50">
        <f t="shared" si="15"/>
        <v>0</v>
      </c>
      <c r="R70" s="277"/>
      <c r="S70" s="277"/>
      <c r="T70" s="277"/>
      <c r="U70" s="277"/>
      <c r="V70" s="277"/>
      <c r="W70" s="277"/>
      <c r="X70" s="277"/>
      <c r="Y70" s="277"/>
      <c r="Z70" s="317"/>
      <c r="AA70" s="272"/>
    </row>
    <row r="71" spans="1:30" ht="78.75" outlineLevel="2" x14ac:dyDescent="0.25">
      <c r="A71" s="71" t="s">
        <v>46</v>
      </c>
      <c r="B71" s="52" t="s">
        <v>165</v>
      </c>
      <c r="C71" s="52">
        <v>51</v>
      </c>
      <c r="D71" s="53" t="s">
        <v>255</v>
      </c>
      <c r="E71" s="140"/>
      <c r="F71" s="54">
        <v>5</v>
      </c>
      <c r="G71" s="55">
        <v>4</v>
      </c>
      <c r="H71" s="55">
        <v>3</v>
      </c>
      <c r="I71" s="55">
        <v>2</v>
      </c>
      <c r="J71" s="56">
        <v>1</v>
      </c>
      <c r="K71" s="66"/>
      <c r="L71" s="66"/>
      <c r="M71" s="55">
        <v>2</v>
      </c>
      <c r="N71" s="55">
        <f t="shared" si="12"/>
        <v>2</v>
      </c>
      <c r="O71" s="55">
        <f t="shared" si="13"/>
        <v>0.14285714285714285</v>
      </c>
      <c r="P71" s="56">
        <f t="shared" si="14"/>
        <v>0</v>
      </c>
      <c r="Q71" s="50">
        <f t="shared" si="15"/>
        <v>0</v>
      </c>
      <c r="R71" s="277"/>
      <c r="S71" s="277"/>
      <c r="T71" s="277"/>
      <c r="U71" s="277"/>
      <c r="V71" s="277"/>
      <c r="W71" s="277"/>
      <c r="X71" s="277"/>
      <c r="Y71" s="277"/>
      <c r="Z71" s="317"/>
      <c r="AA71" s="272"/>
    </row>
    <row r="72" spans="1:30" ht="31.5" outlineLevel="2" x14ac:dyDescent="0.25">
      <c r="A72" s="71" t="s">
        <v>46</v>
      </c>
      <c r="B72" s="52" t="s">
        <v>158</v>
      </c>
      <c r="C72" s="52">
        <v>52</v>
      </c>
      <c r="D72" s="53" t="s">
        <v>256</v>
      </c>
      <c r="E72" s="140"/>
      <c r="F72" s="54">
        <v>5</v>
      </c>
      <c r="G72" s="55">
        <v>4</v>
      </c>
      <c r="H72" s="55">
        <v>3</v>
      </c>
      <c r="I72" s="55">
        <v>2</v>
      </c>
      <c r="J72" s="56">
        <v>1</v>
      </c>
      <c r="K72" s="66"/>
      <c r="L72" s="66"/>
      <c r="M72" s="55">
        <v>2</v>
      </c>
      <c r="N72" s="55">
        <f t="shared" si="12"/>
        <v>2</v>
      </c>
      <c r="O72" s="55">
        <f t="shared" si="13"/>
        <v>0.14285714285714285</v>
      </c>
      <c r="P72" s="56">
        <f t="shared" si="14"/>
        <v>0</v>
      </c>
      <c r="Q72" s="50">
        <f t="shared" si="15"/>
        <v>0</v>
      </c>
      <c r="R72" s="277"/>
      <c r="S72" s="277"/>
      <c r="T72" s="277"/>
      <c r="U72" s="277"/>
      <c r="V72" s="277"/>
      <c r="W72" s="277"/>
      <c r="X72" s="277"/>
      <c r="Y72" s="277"/>
      <c r="Z72" s="317"/>
      <c r="AA72" s="272"/>
    </row>
    <row r="73" spans="1:30" ht="47.25" outlineLevel="2" x14ac:dyDescent="0.25">
      <c r="A73" s="71" t="s">
        <v>46</v>
      </c>
      <c r="B73" s="52" t="s">
        <v>171</v>
      </c>
      <c r="C73" s="52">
        <v>53</v>
      </c>
      <c r="D73" s="53" t="s">
        <v>257</v>
      </c>
      <c r="E73" s="140"/>
      <c r="F73" s="54">
        <v>5</v>
      </c>
      <c r="G73" s="55">
        <v>4</v>
      </c>
      <c r="H73" s="55">
        <v>3</v>
      </c>
      <c r="I73" s="55">
        <v>2</v>
      </c>
      <c r="J73" s="56">
        <v>1</v>
      </c>
      <c r="K73" s="66"/>
      <c r="L73" s="66"/>
      <c r="M73" s="55">
        <v>2</v>
      </c>
      <c r="N73" s="55">
        <f t="shared" si="12"/>
        <v>2</v>
      </c>
      <c r="O73" s="55">
        <f t="shared" si="13"/>
        <v>0.14285714285714285</v>
      </c>
      <c r="P73" s="56">
        <f t="shared" si="14"/>
        <v>0</v>
      </c>
      <c r="Q73" s="50">
        <f t="shared" si="15"/>
        <v>0</v>
      </c>
      <c r="R73" s="277"/>
      <c r="S73" s="277"/>
      <c r="T73" s="277"/>
      <c r="U73" s="277"/>
      <c r="V73" s="277"/>
      <c r="W73" s="277"/>
      <c r="X73" s="277"/>
      <c r="Y73" s="277"/>
      <c r="Z73" s="317"/>
      <c r="AA73" s="272"/>
    </row>
    <row r="74" spans="1:30" ht="47.25" outlineLevel="2" x14ac:dyDescent="0.25">
      <c r="A74" s="71" t="s">
        <v>46</v>
      </c>
      <c r="B74" s="52" t="s">
        <v>155</v>
      </c>
      <c r="C74" s="52">
        <v>54</v>
      </c>
      <c r="D74" s="53" t="s">
        <v>286</v>
      </c>
      <c r="E74" s="140"/>
      <c r="F74" s="54">
        <v>5</v>
      </c>
      <c r="G74" s="55">
        <v>4</v>
      </c>
      <c r="H74" s="55">
        <v>3</v>
      </c>
      <c r="I74" s="55">
        <v>2</v>
      </c>
      <c r="J74" s="56">
        <v>1</v>
      </c>
      <c r="K74" s="66"/>
      <c r="L74" s="66"/>
      <c r="M74" s="55">
        <v>2</v>
      </c>
      <c r="N74" s="55">
        <f t="shared" si="12"/>
        <v>2</v>
      </c>
      <c r="O74" s="55">
        <f t="shared" si="13"/>
        <v>0.14285714285714285</v>
      </c>
      <c r="P74" s="56">
        <f>IF($K74=$F$3,5,IF($K74=$G$3,4,IF($K74=$H$3,3,IF($K74=$J$3,1,IF($K74=$I$3,2,0)))))</f>
        <v>0</v>
      </c>
      <c r="Q74" s="50">
        <f t="shared" si="15"/>
        <v>0</v>
      </c>
      <c r="R74" s="277"/>
      <c r="S74" s="277"/>
      <c r="T74" s="277"/>
      <c r="U74" s="277"/>
      <c r="V74" s="277"/>
      <c r="W74" s="277"/>
      <c r="X74" s="277"/>
      <c r="Y74" s="277"/>
      <c r="Z74" s="317"/>
      <c r="AA74" s="272"/>
    </row>
    <row r="75" spans="1:30" outlineLevel="1" x14ac:dyDescent="0.25">
      <c r="A75" s="65" t="s">
        <v>46</v>
      </c>
      <c r="B75" s="157" t="s">
        <v>109</v>
      </c>
      <c r="C75" s="157"/>
      <c r="D75" s="157" t="s">
        <v>150</v>
      </c>
      <c r="E75" s="142">
        <f>COUNTBLANK(statAnswSECap)</f>
        <v>5</v>
      </c>
      <c r="F75" s="255"/>
      <c r="G75" s="255"/>
      <c r="H75" s="255"/>
      <c r="I75" s="255"/>
      <c r="J75" s="255"/>
      <c r="K75" s="292"/>
      <c r="L75" s="292"/>
      <c r="M75" s="292"/>
      <c r="N75" s="292"/>
      <c r="O75" s="292"/>
      <c r="P75" s="292"/>
      <c r="Q75" s="292"/>
      <c r="R75" s="257">
        <v>3</v>
      </c>
      <c r="S75" s="66"/>
      <c r="T75" s="186">
        <f>IF(S75=" ",R75,AVERAGE(R75:S75))</f>
        <v>3</v>
      </c>
      <c r="U75" s="175">
        <f>IF(T75&gt;=3,3,IF(T75&gt;=2,2,IF(T75&gt;=1,1,IF(T75&gt;=0,0))))</f>
        <v>3</v>
      </c>
      <c r="V75" s="67" t="str">
        <f>IF(T75&gt;=3,Data!$A$10,IF(T75&gt;=2,Data!$A$11,IF(T75&gt;=1,Data!$A$12,IF(T75&gt;=0,Data!$A$13))))</f>
        <v>Very important</v>
      </c>
      <c r="W75" s="67">
        <f>AVERAGE(R75:S75)</f>
        <v>3</v>
      </c>
      <c r="X75" s="68">
        <f>SUM(statSoftEng)</f>
        <v>0</v>
      </c>
      <c r="Y75" s="69">
        <f>W75/SUM(imporTec)</f>
        <v>0.3</v>
      </c>
      <c r="Z75" s="310">
        <f>X75*Y75</f>
        <v>0</v>
      </c>
      <c r="AA75" s="272"/>
    </row>
    <row r="76" spans="1:30" ht="47.25" outlineLevel="2" x14ac:dyDescent="0.25">
      <c r="A76" s="71" t="s">
        <v>46</v>
      </c>
      <c r="B76" s="52" t="s">
        <v>170</v>
      </c>
      <c r="C76" s="52">
        <v>43</v>
      </c>
      <c r="D76" s="53" t="s">
        <v>253</v>
      </c>
      <c r="E76" s="140"/>
      <c r="F76" s="54">
        <v>5</v>
      </c>
      <c r="G76" s="55">
        <v>4</v>
      </c>
      <c r="H76" s="55">
        <v>3</v>
      </c>
      <c r="I76" s="55">
        <v>2</v>
      </c>
      <c r="J76" s="56">
        <v>1</v>
      </c>
      <c r="K76" s="66"/>
      <c r="L76" s="66"/>
      <c r="M76" s="55">
        <v>2</v>
      </c>
      <c r="N76" s="55">
        <f>IF(L76=" ",M76,AVERAGE(M76,L76))</f>
        <v>2</v>
      </c>
      <c r="O76" s="55">
        <f>N76/SUM(impSSofEng)</f>
        <v>0.2</v>
      </c>
      <c r="P76" s="56">
        <f>IF($K76=$F$3,5,IF($K76=$G$3,4,IF($K76=$H$3,3,IF($K76=$J$3,1,IF($K76=$I$3,2,0)))))</f>
        <v>0</v>
      </c>
      <c r="Q76" s="50">
        <f>P76*O76</f>
        <v>0</v>
      </c>
      <c r="R76" s="277"/>
      <c r="S76" s="277"/>
      <c r="T76" s="277"/>
      <c r="U76" s="277"/>
      <c r="V76" s="277"/>
      <c r="W76" s="277"/>
      <c r="X76" s="277"/>
      <c r="Y76" s="277"/>
      <c r="Z76" s="317"/>
      <c r="AA76" s="272"/>
    </row>
    <row r="77" spans="1:30" ht="31.5" outlineLevel="2" x14ac:dyDescent="0.25">
      <c r="A77" s="71" t="s">
        <v>46</v>
      </c>
      <c r="B77" s="52" t="s">
        <v>151</v>
      </c>
      <c r="C77" s="52">
        <v>44</v>
      </c>
      <c r="D77" s="53" t="s">
        <v>275</v>
      </c>
      <c r="E77" s="140"/>
      <c r="F77" s="54">
        <v>5</v>
      </c>
      <c r="G77" s="55">
        <v>4</v>
      </c>
      <c r="H77" s="55">
        <v>3</v>
      </c>
      <c r="I77" s="55">
        <v>2</v>
      </c>
      <c r="J77" s="56">
        <v>1</v>
      </c>
      <c r="K77" s="66"/>
      <c r="L77" s="66"/>
      <c r="M77" s="55">
        <v>2</v>
      </c>
      <c r="N77" s="55">
        <f>IF(L77=" ",M77,AVERAGE(M77,L77))</f>
        <v>2</v>
      </c>
      <c r="O77" s="55">
        <f>N77/SUM(impSSofEng)</f>
        <v>0.2</v>
      </c>
      <c r="P77" s="56">
        <f>IF($K77=$F$3,5,IF($K77=$G$3,4,IF($K77=$H$3,3,IF($K77=$J$3,1,IF($K77=$I$3,2,0)))))</f>
        <v>0</v>
      </c>
      <c r="Q77" s="50">
        <f>P77*O77</f>
        <v>0</v>
      </c>
      <c r="R77" s="277"/>
      <c r="S77" s="277"/>
      <c r="T77" s="277"/>
      <c r="U77" s="277"/>
      <c r="V77" s="277"/>
      <c r="W77" s="277"/>
      <c r="X77" s="277"/>
      <c r="Y77" s="277"/>
      <c r="Z77" s="317"/>
      <c r="AA77" s="272"/>
      <c r="AC77" s="80">
        <f>AVERAGE(P76:P77,P79:P80)</f>
        <v>0</v>
      </c>
    </row>
    <row r="78" spans="1:30" ht="47.25" outlineLevel="2" x14ac:dyDescent="0.25">
      <c r="A78" s="71" t="s">
        <v>46</v>
      </c>
      <c r="B78" s="52" t="s">
        <v>173</v>
      </c>
      <c r="C78" s="52">
        <v>45</v>
      </c>
      <c r="D78" s="53" t="s">
        <v>172</v>
      </c>
      <c r="E78" s="140"/>
      <c r="F78" s="54">
        <v>5</v>
      </c>
      <c r="G78" s="55">
        <v>4</v>
      </c>
      <c r="H78" s="55">
        <v>3</v>
      </c>
      <c r="I78" s="55">
        <v>2</v>
      </c>
      <c r="J78" s="56">
        <v>1</v>
      </c>
      <c r="K78" s="66"/>
      <c r="L78" s="66"/>
      <c r="M78" s="55">
        <v>2</v>
      </c>
      <c r="N78" s="55">
        <f>IF(L78=" ",M78,AVERAGE(M78,L78))</f>
        <v>2</v>
      </c>
      <c r="O78" s="55">
        <f>N78/SUM(impSSofEng)</f>
        <v>0.2</v>
      </c>
      <c r="P78" s="56" t="b">
        <f>IF(K78&lt;&gt;"",IF($K78=$F$3,5,IF($K78=$G$3,4,IF($K78=$H$3,3,IF($K78=$J$3,1,IF($K78=$I$3,2,))))))</f>
        <v>0</v>
      </c>
      <c r="Q78" s="50">
        <f>P78*O78</f>
        <v>0</v>
      </c>
      <c r="R78" s="277"/>
      <c r="S78" s="277"/>
      <c r="T78" s="277"/>
      <c r="U78" s="277"/>
      <c r="V78" s="277"/>
      <c r="W78" s="277"/>
      <c r="X78" s="277"/>
      <c r="Y78" s="277"/>
      <c r="Z78" s="317"/>
      <c r="AA78" s="272"/>
    </row>
    <row r="79" spans="1:30" ht="47.25" outlineLevel="2" x14ac:dyDescent="0.25">
      <c r="A79" s="71" t="s">
        <v>46</v>
      </c>
      <c r="B79" s="52" t="s">
        <v>154</v>
      </c>
      <c r="C79" s="52">
        <v>46</v>
      </c>
      <c r="D79" s="53" t="s">
        <v>254</v>
      </c>
      <c r="E79" s="140"/>
      <c r="F79" s="54">
        <v>5</v>
      </c>
      <c r="G79" s="55">
        <v>4</v>
      </c>
      <c r="H79" s="55">
        <v>3</v>
      </c>
      <c r="I79" s="55">
        <v>2</v>
      </c>
      <c r="J79" s="56">
        <v>1</v>
      </c>
      <c r="K79" s="66"/>
      <c r="L79" s="66"/>
      <c r="M79" s="55">
        <v>2</v>
      </c>
      <c r="N79" s="55">
        <f>IF(L79=" ",M79,AVERAGE(M79,L79))</f>
        <v>2</v>
      </c>
      <c r="O79" s="55">
        <f>N79/SUM(impSSofEng)</f>
        <v>0.2</v>
      </c>
      <c r="P79" s="56">
        <f>IF($K79=$F$3,5,IF($K79=$G$3,4,IF($K79=$H$3,3,IF($K79=$J$3,1,IF($K79=$I$3,2,0)))))</f>
        <v>0</v>
      </c>
      <c r="Q79" s="50">
        <f>P79*O79</f>
        <v>0</v>
      </c>
      <c r="R79" s="277"/>
      <c r="S79" s="277"/>
      <c r="T79" s="277"/>
      <c r="U79" s="277"/>
      <c r="V79" s="277"/>
      <c r="W79" s="277"/>
      <c r="X79" s="277"/>
      <c r="Y79" s="277"/>
      <c r="Z79" s="317"/>
      <c r="AA79" s="272"/>
    </row>
    <row r="80" spans="1:30" ht="47.25" outlineLevel="2" x14ac:dyDescent="0.25">
      <c r="A80" s="71" t="s">
        <v>46</v>
      </c>
      <c r="B80" s="52" t="s">
        <v>168</v>
      </c>
      <c r="C80" s="52">
        <v>47</v>
      </c>
      <c r="D80" s="53" t="s">
        <v>167</v>
      </c>
      <c r="E80" s="140"/>
      <c r="F80" s="54">
        <v>5</v>
      </c>
      <c r="G80" s="55">
        <v>4</v>
      </c>
      <c r="H80" s="55">
        <v>3</v>
      </c>
      <c r="I80" s="55">
        <v>2</v>
      </c>
      <c r="J80" s="56">
        <v>1</v>
      </c>
      <c r="K80" s="66"/>
      <c r="L80" s="66"/>
      <c r="M80" s="55">
        <v>2</v>
      </c>
      <c r="N80" s="55">
        <f>IF(L80=" ",M80,AVERAGE(M80,L80))</f>
        <v>2</v>
      </c>
      <c r="O80" s="55">
        <f>N80/SUM(impSSofEng)</f>
        <v>0.2</v>
      </c>
      <c r="P80" s="56">
        <f>IF($K80=$F$3,5,IF($K80=$G$3,4,IF($K80=$H$3,3,IF($K80=$J$3,1,IF($K80=$I$3,2,0)))))</f>
        <v>0</v>
      </c>
      <c r="Q80" s="50">
        <f>P80*O80</f>
        <v>0</v>
      </c>
      <c r="R80" s="277"/>
      <c r="S80" s="277"/>
      <c r="T80" s="277"/>
      <c r="U80" s="277"/>
      <c r="V80" s="277"/>
      <c r="W80" s="277"/>
      <c r="X80" s="277"/>
      <c r="Y80" s="277"/>
      <c r="Z80" s="317"/>
      <c r="AA80" s="272"/>
    </row>
    <row r="81" spans="1:27" ht="29.25" x14ac:dyDescent="0.25">
      <c r="A81" s="280" t="str">
        <f>Data!C11</f>
        <v>Economic</v>
      </c>
      <c r="B81" s="281"/>
      <c r="C81" s="281"/>
      <c r="D81" s="281"/>
      <c r="E81" s="281"/>
      <c r="F81" s="281"/>
      <c r="G81" s="281"/>
      <c r="H81" s="281"/>
      <c r="I81" s="281"/>
      <c r="J81" s="281"/>
      <c r="K81" s="281"/>
      <c r="L81" s="281"/>
      <c r="M81" s="281"/>
      <c r="N81" s="281"/>
      <c r="O81" s="281"/>
      <c r="P81" s="281"/>
      <c r="Q81" s="281"/>
      <c r="R81" s="281"/>
      <c r="S81" s="281"/>
      <c r="T81" s="281"/>
      <c r="U81" s="281"/>
      <c r="V81" s="281"/>
      <c r="W81" s="281"/>
      <c r="X81" s="281"/>
      <c r="Y81" s="281"/>
      <c r="Z81" s="309"/>
      <c r="AA81" s="98">
        <f>Z82+Z85+Z88</f>
        <v>0</v>
      </c>
    </row>
    <row r="82" spans="1:27" outlineLevel="1" x14ac:dyDescent="0.25">
      <c r="A82" s="65" t="s">
        <v>46</v>
      </c>
      <c r="B82" s="157" t="s">
        <v>338</v>
      </c>
      <c r="C82" s="157"/>
      <c r="D82" s="157" t="s">
        <v>126</v>
      </c>
      <c r="E82" s="142">
        <f>COUNTBLANK(statAnswEconInd)</f>
        <v>2</v>
      </c>
      <c r="F82" s="255"/>
      <c r="G82" s="255"/>
      <c r="H82" s="255"/>
      <c r="I82" s="255"/>
      <c r="J82" s="255"/>
      <c r="K82" s="292"/>
      <c r="L82" s="292"/>
      <c r="M82" s="292"/>
      <c r="N82" s="292"/>
      <c r="O82" s="292"/>
      <c r="P82" s="292"/>
      <c r="Q82" s="292"/>
      <c r="R82" s="257">
        <v>1</v>
      </c>
      <c r="S82" s="66"/>
      <c r="T82" s="186">
        <f>IF(S82=" ",R82,AVERAGE(R82:S82))</f>
        <v>1</v>
      </c>
      <c r="U82" s="175">
        <f>IF(T82&gt;=3,3,IF(T82&gt;=2,2,IF(T82&gt;=1,1,IF(T82&gt;=0,0))))</f>
        <v>1</v>
      </c>
      <c r="V82" s="67" t="str">
        <f>IF(T82&gt;=3,Data!$A$10,IF(T82&gt;=2,Data!$A$11,IF(T82&gt;=1,Data!$A$12,IF(T82&gt;=0,Data!$A$13))))</f>
        <v>Desirable</v>
      </c>
      <c r="W82" s="67">
        <f>AVERAGE(R82:S82)</f>
        <v>1</v>
      </c>
      <c r="X82" s="68">
        <f>SUM(statEcon)</f>
        <v>0</v>
      </c>
      <c r="Y82" s="69">
        <f>W82/SUM(importEcom)</f>
        <v>0.25</v>
      </c>
      <c r="Z82" s="310">
        <f>X82*Y82</f>
        <v>0</v>
      </c>
      <c r="AA82" s="272"/>
    </row>
    <row r="83" spans="1:27" ht="63" outlineLevel="2" x14ac:dyDescent="0.25">
      <c r="A83" s="71" t="s">
        <v>46</v>
      </c>
      <c r="B83" s="52" t="s">
        <v>125</v>
      </c>
      <c r="C83" s="52">
        <v>62</v>
      </c>
      <c r="D83" s="53" t="s">
        <v>264</v>
      </c>
      <c r="E83" s="140"/>
      <c r="F83" s="54">
        <v>5</v>
      </c>
      <c r="G83" s="55">
        <v>4</v>
      </c>
      <c r="H83" s="55">
        <v>3</v>
      </c>
      <c r="I83" s="55">
        <v>2</v>
      </c>
      <c r="J83" s="56">
        <v>1</v>
      </c>
      <c r="K83" s="66"/>
      <c r="L83" s="66"/>
      <c r="M83" s="55">
        <v>2</v>
      </c>
      <c r="N83" s="55">
        <f>IF(L83=" ",M83,AVERAGE(M83,L83))</f>
        <v>2</v>
      </c>
      <c r="O83" s="55">
        <f>N83/SUM(impSEcon)</f>
        <v>0.5</v>
      </c>
      <c r="P83" s="56">
        <f>IF($K83=$F$3,5,IF($K83=$G$3,4,IF($K83=$H$3,3,IF($K83=$J$3,1,IF($K83=$I$3,2,0)))))</f>
        <v>0</v>
      </c>
      <c r="Q83" s="50">
        <f>P83*O83</f>
        <v>0</v>
      </c>
      <c r="R83" s="277"/>
      <c r="S83" s="277"/>
      <c r="T83" s="277"/>
      <c r="U83" s="277"/>
      <c r="V83" s="277"/>
      <c r="W83" s="277"/>
      <c r="X83" s="277"/>
      <c r="Y83" s="277"/>
      <c r="Z83" s="317"/>
      <c r="AA83" s="272"/>
    </row>
    <row r="84" spans="1:27" ht="78.75" outlineLevel="2" x14ac:dyDescent="0.25">
      <c r="A84" s="71" t="s">
        <v>46</v>
      </c>
      <c r="B84" s="52" t="s">
        <v>215</v>
      </c>
      <c r="C84" s="52">
        <v>63</v>
      </c>
      <c r="D84" s="53" t="s">
        <v>265</v>
      </c>
      <c r="E84" s="140"/>
      <c r="F84" s="54">
        <v>5</v>
      </c>
      <c r="G84" s="55">
        <v>4</v>
      </c>
      <c r="H84" s="55">
        <v>3</v>
      </c>
      <c r="I84" s="55">
        <v>2</v>
      </c>
      <c r="J84" s="56">
        <v>1</v>
      </c>
      <c r="K84" s="66"/>
      <c r="L84" s="66"/>
      <c r="M84" s="55">
        <v>2</v>
      </c>
      <c r="N84" s="55">
        <f>IF(L84=" ",M84,AVERAGE(M84,L84))</f>
        <v>2</v>
      </c>
      <c r="O84" s="55">
        <f>N84/SUM(impSEcon)</f>
        <v>0.5</v>
      </c>
      <c r="P84" s="56">
        <f>IF($K84=$F$3,5,IF($K84=$G$3,4,IF($K84=$H$3,3,IF($K84=$J$3,1,IF($K84=$I$3,2,0)))))</f>
        <v>0</v>
      </c>
      <c r="Q84" s="50">
        <f>P84*O84</f>
        <v>0</v>
      </c>
      <c r="R84" s="277"/>
      <c r="S84" s="277"/>
      <c r="T84" s="277"/>
      <c r="U84" s="277"/>
      <c r="V84" s="277"/>
      <c r="W84" s="277"/>
      <c r="X84" s="277"/>
      <c r="Y84" s="277"/>
      <c r="Z84" s="317"/>
      <c r="AA84" s="272"/>
    </row>
    <row r="85" spans="1:27" outlineLevel="1" x14ac:dyDescent="0.25">
      <c r="A85" s="65" t="s">
        <v>46</v>
      </c>
      <c r="B85" s="157" t="s">
        <v>338</v>
      </c>
      <c r="C85" s="157"/>
      <c r="D85" s="157" t="s">
        <v>210</v>
      </c>
      <c r="E85" s="142">
        <f>COUNTBLANK(statAnswInvest)</f>
        <v>2</v>
      </c>
      <c r="F85" s="255"/>
      <c r="G85" s="255"/>
      <c r="H85" s="255"/>
      <c r="I85" s="255"/>
      <c r="J85" s="255"/>
      <c r="K85" s="292"/>
      <c r="L85" s="292"/>
      <c r="M85" s="292"/>
      <c r="N85" s="292"/>
      <c r="O85" s="292"/>
      <c r="P85" s="292"/>
      <c r="Q85" s="292"/>
      <c r="R85" s="257">
        <v>2</v>
      </c>
      <c r="S85" s="66"/>
      <c r="T85" s="186">
        <f>IF(S85=" ",R85,AVERAGE(R85:S85))</f>
        <v>2</v>
      </c>
      <c r="U85" s="175">
        <f>IF(T85&gt;=3,3,IF(T85&gt;=2,2,IF(T85&gt;=1,1,IF(T85&gt;=0,0))))</f>
        <v>2</v>
      </c>
      <c r="V85" s="67" t="str">
        <f>IF(T85&gt;=3,Data!$A$10,IF(T85&gt;=2,Data!$A$11,IF(T85&gt;=1,Data!$A$12,IF(T85&gt;=0,Data!$A$13))))</f>
        <v>Important</v>
      </c>
      <c r="W85" s="67">
        <f>AVERAGE(R85:S85)</f>
        <v>2</v>
      </c>
      <c r="X85" s="68">
        <f>SUM(statInvest)</f>
        <v>0</v>
      </c>
      <c r="Y85" s="69">
        <f>W85/SUM(importEcom)</f>
        <v>0.5</v>
      </c>
      <c r="Z85" s="310">
        <f>X85*Y85</f>
        <v>0</v>
      </c>
      <c r="AA85" s="272"/>
    </row>
    <row r="86" spans="1:27" ht="63" outlineLevel="2" x14ac:dyDescent="0.25">
      <c r="A86" s="71" t="s">
        <v>46</v>
      </c>
      <c r="B86" s="52" t="s">
        <v>128</v>
      </c>
      <c r="C86" s="52">
        <v>66</v>
      </c>
      <c r="D86" s="53" t="s">
        <v>127</v>
      </c>
      <c r="E86" s="140"/>
      <c r="F86" s="54">
        <v>5</v>
      </c>
      <c r="G86" s="55">
        <v>4</v>
      </c>
      <c r="H86" s="55">
        <v>3</v>
      </c>
      <c r="I86" s="55">
        <v>2</v>
      </c>
      <c r="J86" s="56">
        <v>1</v>
      </c>
      <c r="K86" s="66"/>
      <c r="L86" s="66"/>
      <c r="M86" s="55">
        <v>2</v>
      </c>
      <c r="N86" s="55">
        <f>IF(L86=" ",M86,AVERAGE(M86,L86))</f>
        <v>2</v>
      </c>
      <c r="O86" s="55">
        <f>N86/SUM(impSInvest)</f>
        <v>0.5</v>
      </c>
      <c r="P86" s="56">
        <f>IF($K86=$F$3,5,IF($K86=$G$3,4,IF($K86=$H$3,3,IF($K86=$J$3,1,IF($K86=$I$3,2,0)))))</f>
        <v>0</v>
      </c>
      <c r="Q86" s="50">
        <f>P86*O86</f>
        <v>0</v>
      </c>
      <c r="R86" s="277"/>
      <c r="S86" s="277"/>
      <c r="T86" s="277"/>
      <c r="U86" s="277"/>
      <c r="V86" s="277"/>
      <c r="W86" s="277"/>
      <c r="X86" s="277"/>
      <c r="Y86" s="277"/>
      <c r="Z86" s="317"/>
      <c r="AA86" s="272"/>
    </row>
    <row r="87" spans="1:27" ht="18.75" outlineLevel="2" x14ac:dyDescent="0.25">
      <c r="A87" s="71" t="s">
        <v>46</v>
      </c>
      <c r="B87" s="52" t="s">
        <v>149</v>
      </c>
      <c r="C87" s="52">
        <v>67</v>
      </c>
      <c r="D87" s="53" t="s">
        <v>422</v>
      </c>
      <c r="E87" s="140"/>
      <c r="F87" s="54">
        <v>5</v>
      </c>
      <c r="G87" s="55">
        <v>4</v>
      </c>
      <c r="H87" s="55">
        <v>3</v>
      </c>
      <c r="I87" s="55">
        <v>2</v>
      </c>
      <c r="J87" s="56">
        <v>1</v>
      </c>
      <c r="K87" s="66"/>
      <c r="L87" s="66"/>
      <c r="M87" s="55">
        <v>2</v>
      </c>
      <c r="N87" s="55">
        <f>IF(L87=" ",M87,AVERAGE(M87,L87))</f>
        <v>2</v>
      </c>
      <c r="O87" s="55">
        <f>N87/SUM(impSInvest)</f>
        <v>0.5</v>
      </c>
      <c r="P87" s="56">
        <f>IF($K87=$F$3,5,IF($K87=$G$3,4,IF($K87=$H$3,3,IF($K87=$J$3,1,IF($K87=$I$3,2,0)))))</f>
        <v>0</v>
      </c>
      <c r="Q87" s="50">
        <f>P87*O87</f>
        <v>0</v>
      </c>
      <c r="R87" s="277"/>
      <c r="S87" s="277"/>
      <c r="T87" s="277"/>
      <c r="U87" s="277"/>
      <c r="V87" s="277"/>
      <c r="W87" s="277"/>
      <c r="X87" s="277"/>
      <c r="Y87" s="277"/>
      <c r="Z87" s="317"/>
      <c r="AA87" s="272"/>
    </row>
    <row r="88" spans="1:27" outlineLevel="1" x14ac:dyDescent="0.25">
      <c r="A88" s="65" t="s">
        <v>46</v>
      </c>
      <c r="B88" s="157" t="s">
        <v>338</v>
      </c>
      <c r="C88" s="157"/>
      <c r="D88" s="157" t="s">
        <v>209</v>
      </c>
      <c r="E88" s="142">
        <f>COUNTBLANK(statAnswMig)</f>
        <v>2</v>
      </c>
      <c r="F88" s="255"/>
      <c r="G88" s="255"/>
      <c r="H88" s="255"/>
      <c r="I88" s="255"/>
      <c r="J88" s="255"/>
      <c r="K88" s="292"/>
      <c r="L88" s="292"/>
      <c r="M88" s="292"/>
      <c r="N88" s="292"/>
      <c r="O88" s="292"/>
      <c r="P88" s="292"/>
      <c r="Q88" s="292"/>
      <c r="R88" s="257">
        <v>1</v>
      </c>
      <c r="S88" s="66"/>
      <c r="T88" s="186">
        <f>IF(S88=" ",R88,AVERAGE(R88:S88))</f>
        <v>1</v>
      </c>
      <c r="U88" s="175">
        <f>IF(T88&gt;=3,3,IF(T88&gt;=2,2,IF(T88&gt;=1,1,IF(T88&gt;=0,0))))</f>
        <v>1</v>
      </c>
      <c r="V88" s="67" t="str">
        <f>IF(T88&gt;=3,Data!$A$10,IF(T88&gt;=2,Data!$A$11,IF(T88&gt;=1,Data!$A$12,IF(T88&gt;=0,Data!$A$13))))</f>
        <v>Desirable</v>
      </c>
      <c r="W88" s="67">
        <f>AVERAGE(R88:S88)</f>
        <v>1</v>
      </c>
      <c r="X88" s="68">
        <f>SUM(statMigr)</f>
        <v>0</v>
      </c>
      <c r="Y88" s="69">
        <f>W88/SUM(importEcom)</f>
        <v>0.25</v>
      </c>
      <c r="Z88" s="310">
        <f>X88*Y88</f>
        <v>0</v>
      </c>
      <c r="AA88" s="272"/>
    </row>
    <row r="89" spans="1:27" ht="47.25" outlineLevel="2" x14ac:dyDescent="0.25">
      <c r="A89" s="71" t="s">
        <v>46</v>
      </c>
      <c r="B89" s="52" t="s">
        <v>216</v>
      </c>
      <c r="C89" s="52">
        <v>64</v>
      </c>
      <c r="D89" s="53" t="s">
        <v>178</v>
      </c>
      <c r="E89" s="140"/>
      <c r="F89" s="54">
        <v>5</v>
      </c>
      <c r="G89" s="55">
        <v>4</v>
      </c>
      <c r="H89" s="55">
        <v>3</v>
      </c>
      <c r="I89" s="55">
        <v>2</v>
      </c>
      <c r="J89" s="56">
        <v>1</v>
      </c>
      <c r="K89" s="66"/>
      <c r="L89" s="66"/>
      <c r="M89" s="55">
        <v>2</v>
      </c>
      <c r="N89" s="55">
        <f>IF(L89=" ",M89,AVERAGE(M89,L89))</f>
        <v>2</v>
      </c>
      <c r="O89" s="55">
        <f>N89/SUM(impStaMig)</f>
        <v>0.5</v>
      </c>
      <c r="P89" s="56">
        <f>IF($K89=$F$3,5,IF($K89=$G$3,4,IF($K89=$H$3,3,IF($K89=$J$3,1,IF($K89=$I$3,2,0)))))</f>
        <v>0</v>
      </c>
      <c r="Q89" s="50">
        <f>P89*O89</f>
        <v>0</v>
      </c>
      <c r="R89" s="277"/>
      <c r="S89" s="277"/>
      <c r="T89" s="277"/>
      <c r="U89" s="277"/>
      <c r="V89" s="277"/>
      <c r="W89" s="277"/>
      <c r="X89" s="277"/>
      <c r="Y89" s="277"/>
      <c r="Z89" s="317"/>
      <c r="AA89" s="272"/>
    </row>
    <row r="90" spans="1:27" ht="48" outlineLevel="2" thickBot="1" x14ac:dyDescent="0.3">
      <c r="A90" s="72" t="s">
        <v>46</v>
      </c>
      <c r="B90" s="318" t="s">
        <v>217</v>
      </c>
      <c r="C90" s="318">
        <v>65</v>
      </c>
      <c r="D90" s="73" t="s">
        <v>266</v>
      </c>
      <c r="E90" s="141"/>
      <c r="F90" s="74">
        <v>5</v>
      </c>
      <c r="G90" s="75">
        <v>4</v>
      </c>
      <c r="H90" s="75">
        <v>3</v>
      </c>
      <c r="I90" s="75">
        <v>2</v>
      </c>
      <c r="J90" s="76">
        <v>1</v>
      </c>
      <c r="K90" s="77"/>
      <c r="L90" s="77"/>
      <c r="M90" s="75">
        <v>2</v>
      </c>
      <c r="N90" s="75">
        <f>IF(L90=" ",M90,AVERAGE(M90,L90))</f>
        <v>2</v>
      </c>
      <c r="O90" s="75">
        <f>N90/SUM(impStaMig)</f>
        <v>0.5</v>
      </c>
      <c r="P90" s="76">
        <f>IF($K90=$F$3,5,IF($K90=$G$3,4,IF($K90=$H$3,3,IF($K90=$J$3,1,IF($K90=$I$3,2,0)))))</f>
        <v>0</v>
      </c>
      <c r="Q90" s="78">
        <f>P90*O90</f>
        <v>0</v>
      </c>
      <c r="R90" s="278"/>
      <c r="S90" s="278"/>
      <c r="T90" s="278"/>
      <c r="U90" s="278"/>
      <c r="V90" s="278"/>
      <c r="W90" s="278"/>
      <c r="X90" s="278"/>
      <c r="Y90" s="278"/>
      <c r="Z90" s="319"/>
      <c r="AA90" s="273"/>
    </row>
    <row r="91" spans="1:27" x14ac:dyDescent="0.25">
      <c r="Y91" s="91"/>
      <c r="Z91" s="92"/>
      <c r="AA91" s="93"/>
    </row>
    <row r="92" spans="1:27" x14ac:dyDescent="0.25">
      <c r="Y92" s="91"/>
      <c r="Z92" s="92"/>
      <c r="AA92" s="93"/>
    </row>
    <row r="93" spans="1:27" x14ac:dyDescent="0.25">
      <c r="Y93" s="91"/>
      <c r="Z93" s="92"/>
      <c r="AA93" s="93"/>
    </row>
    <row r="94" spans="1:27" x14ac:dyDescent="0.25">
      <c r="Y94" s="91"/>
      <c r="Z94" s="92"/>
      <c r="AA94" s="93"/>
    </row>
    <row r="95" spans="1:27" x14ac:dyDescent="0.25">
      <c r="Y95" s="91"/>
      <c r="Z95" s="92"/>
      <c r="AA95" s="93"/>
    </row>
    <row r="96" spans="1:27" x14ac:dyDescent="0.25">
      <c r="Y96" s="91"/>
      <c r="Z96" s="92"/>
      <c r="AA96" s="93"/>
    </row>
    <row r="97" spans="4:27" x14ac:dyDescent="0.25">
      <c r="D97" s="94"/>
      <c r="E97" s="94"/>
      <c r="F97" s="48"/>
      <c r="G97" s="48"/>
      <c r="H97" s="49"/>
      <c r="Y97" s="91"/>
      <c r="Z97" s="92"/>
      <c r="AA97" s="93"/>
    </row>
  </sheetData>
  <dataConsolidate link="1"/>
  <mergeCells count="46">
    <mergeCell ref="K88:Q88"/>
    <mergeCell ref="R6:Z7"/>
    <mergeCell ref="R9:Z12"/>
    <mergeCell ref="R14:Z16"/>
    <mergeCell ref="R18:Z24"/>
    <mergeCell ref="R26:Z31"/>
    <mergeCell ref="K50:Q50"/>
    <mergeCell ref="K55:Q55"/>
    <mergeCell ref="K59:Q59"/>
    <mergeCell ref="K67:Q67"/>
    <mergeCell ref="K75:Q75"/>
    <mergeCell ref="R83:Z84"/>
    <mergeCell ref="R46:Z49"/>
    <mergeCell ref="K85:Q85"/>
    <mergeCell ref="K82:Q82"/>
    <mergeCell ref="K45:Q45"/>
    <mergeCell ref="R33:Z35"/>
    <mergeCell ref="R37:Z40"/>
    <mergeCell ref="R42:Z44"/>
    <mergeCell ref="E1:E3"/>
    <mergeCell ref="R1:Z1"/>
    <mergeCell ref="V2:X2"/>
    <mergeCell ref="F1:Q1"/>
    <mergeCell ref="K32:Q32"/>
    <mergeCell ref="K36:Q36"/>
    <mergeCell ref="K41:Q41"/>
    <mergeCell ref="F2:J2"/>
    <mergeCell ref="M2:P2"/>
    <mergeCell ref="K2:L2"/>
    <mergeCell ref="K25:Q25"/>
    <mergeCell ref="AA55:AA80"/>
    <mergeCell ref="AA82:AA90"/>
    <mergeCell ref="AC35:AC40"/>
    <mergeCell ref="R2:R3"/>
    <mergeCell ref="R51:Z53"/>
    <mergeCell ref="R56:Z58"/>
    <mergeCell ref="R60:Z66"/>
    <mergeCell ref="R68:Z74"/>
    <mergeCell ref="R76:Z80"/>
    <mergeCell ref="R89:Z90"/>
    <mergeCell ref="AA5:AA53"/>
    <mergeCell ref="R86:Z87"/>
    <mergeCell ref="A4:Z4"/>
    <mergeCell ref="A81:Z81"/>
    <mergeCell ref="A54:Z54"/>
    <mergeCell ref="A1:D3"/>
  </mergeCells>
  <conditionalFormatting sqref="X3 X5">
    <cfRule type="cellIs" dxfId="60" priority="265" operator="lessThan">
      <formula>3</formula>
    </cfRule>
  </conditionalFormatting>
  <conditionalFormatting sqref="W3">
    <cfRule type="cellIs" dxfId="59" priority="159" operator="lessThan">
      <formula>3</formula>
    </cfRule>
  </conditionalFormatting>
  <conditionalFormatting sqref="X88">
    <cfRule type="cellIs" dxfId="58" priority="142" operator="lessThan">
      <formula>3</formula>
    </cfRule>
  </conditionalFormatting>
  <conditionalFormatting sqref="X8">
    <cfRule type="cellIs" dxfId="57" priority="157" operator="lessThan">
      <formula>3</formula>
    </cfRule>
  </conditionalFormatting>
  <conditionalFormatting sqref="X13">
    <cfRule type="cellIs" dxfId="56" priority="156" operator="lessThan">
      <formula>3</formula>
    </cfRule>
  </conditionalFormatting>
  <conditionalFormatting sqref="X17">
    <cfRule type="cellIs" dxfId="55" priority="155" operator="lessThan">
      <formula>3</formula>
    </cfRule>
  </conditionalFormatting>
  <conditionalFormatting sqref="X25">
    <cfRule type="cellIs" dxfId="54" priority="154" operator="lessThan">
      <formula>3</formula>
    </cfRule>
  </conditionalFormatting>
  <conditionalFormatting sqref="X32">
    <cfRule type="cellIs" dxfId="53" priority="153" operator="lessThan">
      <formula>3</formula>
    </cfRule>
  </conditionalFormatting>
  <conditionalFormatting sqref="X36">
    <cfRule type="cellIs" dxfId="52" priority="152" operator="lessThan">
      <formula>3</formula>
    </cfRule>
  </conditionalFormatting>
  <conditionalFormatting sqref="X41">
    <cfRule type="cellIs" dxfId="51" priority="151" operator="lessThan">
      <formula>3</formula>
    </cfRule>
  </conditionalFormatting>
  <conditionalFormatting sqref="X45">
    <cfRule type="cellIs" dxfId="50" priority="150" operator="lessThan">
      <formula>3</formula>
    </cfRule>
  </conditionalFormatting>
  <conditionalFormatting sqref="X50">
    <cfRule type="cellIs" dxfId="49" priority="149" operator="lessThan">
      <formula>3</formula>
    </cfRule>
  </conditionalFormatting>
  <conditionalFormatting sqref="X55">
    <cfRule type="cellIs" dxfId="48" priority="148" operator="lessThan">
      <formula>3</formula>
    </cfRule>
  </conditionalFormatting>
  <conditionalFormatting sqref="X59">
    <cfRule type="cellIs" dxfId="47" priority="147" operator="lessThan">
      <formula>3</formula>
    </cfRule>
  </conditionalFormatting>
  <conditionalFormatting sqref="X67">
    <cfRule type="cellIs" dxfId="46" priority="146" operator="lessThan">
      <formula>3</formula>
    </cfRule>
  </conditionalFormatting>
  <conditionalFormatting sqref="X75">
    <cfRule type="cellIs" dxfId="45" priority="145" operator="lessThan">
      <formula>3</formula>
    </cfRule>
  </conditionalFormatting>
  <conditionalFormatting sqref="X82">
    <cfRule type="cellIs" dxfId="44" priority="144" operator="lessThan">
      <formula>3</formula>
    </cfRule>
  </conditionalFormatting>
  <conditionalFormatting sqref="X85">
    <cfRule type="cellIs" dxfId="43" priority="143" operator="lessThan">
      <formula>3</formula>
    </cfRule>
  </conditionalFormatting>
  <conditionalFormatting sqref="E5:E7">
    <cfRule type="cellIs" dxfId="42" priority="58" operator="greaterThan">
      <formula>0</formula>
    </cfRule>
  </conditionalFormatting>
  <conditionalFormatting sqref="E9:E10">
    <cfRule type="cellIs" dxfId="41" priority="57" operator="greaterThan">
      <formula>0</formula>
    </cfRule>
  </conditionalFormatting>
  <conditionalFormatting sqref="E5">
    <cfRule type="iconSet" priority="56">
      <iconSet iconSet="3Symbols" reverse="1">
        <cfvo type="percent" val="0"/>
        <cfvo type="num" val="1"/>
        <cfvo type="num" val="100"/>
      </iconSet>
    </cfRule>
  </conditionalFormatting>
  <conditionalFormatting sqref="E8">
    <cfRule type="cellIs" dxfId="40" priority="55" operator="greaterThan">
      <formula>0</formula>
    </cfRule>
  </conditionalFormatting>
  <conditionalFormatting sqref="E8">
    <cfRule type="iconSet" priority="54">
      <iconSet iconSet="3Symbols" reverse="1">
        <cfvo type="percent" val="0"/>
        <cfvo type="num" val="1"/>
        <cfvo type="num" val="100"/>
      </iconSet>
    </cfRule>
  </conditionalFormatting>
  <conditionalFormatting sqref="E13">
    <cfRule type="cellIs" dxfId="39" priority="53" operator="greaterThan">
      <formula>0</formula>
    </cfRule>
  </conditionalFormatting>
  <conditionalFormatting sqref="E13">
    <cfRule type="iconSet" priority="52">
      <iconSet iconSet="3Symbols" reverse="1">
        <cfvo type="percent" val="0"/>
        <cfvo type="num" val="1"/>
        <cfvo type="num" val="100"/>
      </iconSet>
    </cfRule>
  </conditionalFormatting>
  <conditionalFormatting sqref="E17">
    <cfRule type="cellIs" dxfId="38" priority="51" operator="greaterThan">
      <formula>0</formula>
    </cfRule>
  </conditionalFormatting>
  <conditionalFormatting sqref="E17">
    <cfRule type="iconSet" priority="50">
      <iconSet iconSet="3Symbols" reverse="1">
        <cfvo type="percent" val="0"/>
        <cfvo type="num" val="1"/>
        <cfvo type="num" val="100"/>
      </iconSet>
    </cfRule>
  </conditionalFormatting>
  <conditionalFormatting sqref="E25">
    <cfRule type="cellIs" dxfId="37" priority="49" operator="greaterThan">
      <formula>0</formula>
    </cfRule>
  </conditionalFormatting>
  <conditionalFormatting sqref="E25">
    <cfRule type="iconSet" priority="48">
      <iconSet iconSet="3Symbols" reverse="1">
        <cfvo type="percent" val="0"/>
        <cfvo type="num" val="1"/>
        <cfvo type="num" val="100"/>
      </iconSet>
    </cfRule>
  </conditionalFormatting>
  <conditionalFormatting sqref="E32">
    <cfRule type="cellIs" dxfId="36" priority="47" operator="greaterThan">
      <formula>0</formula>
    </cfRule>
  </conditionalFormatting>
  <conditionalFormatting sqref="E32">
    <cfRule type="iconSet" priority="46">
      <iconSet iconSet="3Symbols" reverse="1">
        <cfvo type="percent" val="0"/>
        <cfvo type="num" val="1"/>
        <cfvo type="num" val="100"/>
      </iconSet>
    </cfRule>
  </conditionalFormatting>
  <conditionalFormatting sqref="E36">
    <cfRule type="cellIs" dxfId="35" priority="45" operator="greaterThan">
      <formula>0</formula>
    </cfRule>
  </conditionalFormatting>
  <conditionalFormatting sqref="E36">
    <cfRule type="iconSet" priority="44">
      <iconSet iconSet="3Symbols" reverse="1">
        <cfvo type="percent" val="0"/>
        <cfvo type="num" val="1"/>
        <cfvo type="num" val="100"/>
      </iconSet>
    </cfRule>
  </conditionalFormatting>
  <conditionalFormatting sqref="E41">
    <cfRule type="cellIs" dxfId="34" priority="43" operator="greaterThan">
      <formula>0</formula>
    </cfRule>
  </conditionalFormatting>
  <conditionalFormatting sqref="E41">
    <cfRule type="iconSet" priority="42">
      <iconSet iconSet="3Symbols" reverse="1">
        <cfvo type="percent" val="0"/>
        <cfvo type="num" val="1"/>
        <cfvo type="num" val="100"/>
      </iconSet>
    </cfRule>
  </conditionalFormatting>
  <conditionalFormatting sqref="E45">
    <cfRule type="cellIs" dxfId="33" priority="41" operator="greaterThan">
      <formula>0</formula>
    </cfRule>
  </conditionalFormatting>
  <conditionalFormatting sqref="E45">
    <cfRule type="iconSet" priority="40">
      <iconSet iconSet="3Symbols" reverse="1">
        <cfvo type="percent" val="0"/>
        <cfvo type="num" val="1"/>
        <cfvo type="num" val="100"/>
      </iconSet>
    </cfRule>
  </conditionalFormatting>
  <conditionalFormatting sqref="E50">
    <cfRule type="cellIs" dxfId="32" priority="39" operator="greaterThan">
      <formula>0</formula>
    </cfRule>
  </conditionalFormatting>
  <conditionalFormatting sqref="E50">
    <cfRule type="iconSet" priority="38">
      <iconSet iconSet="3Symbols" reverse="1">
        <cfvo type="percent" val="0"/>
        <cfvo type="num" val="1"/>
        <cfvo type="num" val="100"/>
      </iconSet>
    </cfRule>
  </conditionalFormatting>
  <conditionalFormatting sqref="E55">
    <cfRule type="cellIs" dxfId="31" priority="37" operator="greaterThan">
      <formula>0</formula>
    </cfRule>
  </conditionalFormatting>
  <conditionalFormatting sqref="E55">
    <cfRule type="iconSet" priority="36">
      <iconSet iconSet="3Symbols" reverse="1">
        <cfvo type="percent" val="0"/>
        <cfvo type="num" val="1"/>
        <cfvo type="num" val="100"/>
      </iconSet>
    </cfRule>
  </conditionalFormatting>
  <conditionalFormatting sqref="E59">
    <cfRule type="cellIs" dxfId="30" priority="35" operator="greaterThan">
      <formula>0</formula>
    </cfRule>
  </conditionalFormatting>
  <conditionalFormatting sqref="E59">
    <cfRule type="iconSet" priority="34">
      <iconSet iconSet="3Symbols" reverse="1">
        <cfvo type="percent" val="0"/>
        <cfvo type="num" val="1"/>
        <cfvo type="num" val="100"/>
      </iconSet>
    </cfRule>
  </conditionalFormatting>
  <conditionalFormatting sqref="E67">
    <cfRule type="cellIs" dxfId="29" priority="33" operator="greaterThan">
      <formula>0</formula>
    </cfRule>
  </conditionalFormatting>
  <conditionalFormatting sqref="E67">
    <cfRule type="iconSet" priority="32">
      <iconSet iconSet="3Symbols" reverse="1">
        <cfvo type="percent" val="0"/>
        <cfvo type="num" val="1"/>
        <cfvo type="num" val="100"/>
      </iconSet>
    </cfRule>
  </conditionalFormatting>
  <conditionalFormatting sqref="E75">
    <cfRule type="cellIs" dxfId="28" priority="31" operator="greaterThan">
      <formula>0</formula>
    </cfRule>
  </conditionalFormatting>
  <conditionalFormatting sqref="E75">
    <cfRule type="iconSet" priority="30">
      <iconSet iconSet="3Symbols" reverse="1">
        <cfvo type="percent" val="0"/>
        <cfvo type="num" val="1"/>
        <cfvo type="num" val="100"/>
      </iconSet>
    </cfRule>
  </conditionalFormatting>
  <conditionalFormatting sqref="E82">
    <cfRule type="cellIs" dxfId="27" priority="29" operator="greaterThan">
      <formula>0</formula>
    </cfRule>
  </conditionalFormatting>
  <conditionalFormatting sqref="E82">
    <cfRule type="iconSet" priority="28">
      <iconSet iconSet="3Symbols" reverse="1">
        <cfvo type="percent" val="0"/>
        <cfvo type="num" val="1"/>
        <cfvo type="num" val="100"/>
      </iconSet>
    </cfRule>
  </conditionalFormatting>
  <conditionalFormatting sqref="E85">
    <cfRule type="cellIs" dxfId="26" priority="27" operator="greaterThan">
      <formula>0</formula>
    </cfRule>
  </conditionalFormatting>
  <conditionalFormatting sqref="E85">
    <cfRule type="iconSet" priority="26">
      <iconSet iconSet="3Symbols" reverse="1">
        <cfvo type="percent" val="0"/>
        <cfvo type="num" val="1"/>
        <cfvo type="num" val="100"/>
      </iconSet>
    </cfRule>
  </conditionalFormatting>
  <conditionalFormatting sqref="E88">
    <cfRule type="cellIs" dxfId="25" priority="25" operator="greaterThan">
      <formula>0</formula>
    </cfRule>
  </conditionalFormatting>
  <conditionalFormatting sqref="E88">
    <cfRule type="iconSet" priority="24">
      <iconSet iconSet="3Symbols" reverse="1">
        <cfvo type="percent" val="0"/>
        <cfvo type="num" val="1"/>
        <cfvo type="num" val="100"/>
      </iconSet>
    </cfRule>
  </conditionalFormatting>
  <conditionalFormatting sqref="R25">
    <cfRule type="cellIs" dxfId="24" priority="23" operator="greaterThan">
      <formula>3</formula>
    </cfRule>
  </conditionalFormatting>
  <conditionalFormatting sqref="V3">
    <cfRule type="cellIs" dxfId="23" priority="21" operator="lessThan">
      <formula>3</formula>
    </cfRule>
  </conditionalFormatting>
  <conditionalFormatting sqref="U3">
    <cfRule type="cellIs" dxfId="22" priority="12" operator="lessThan">
      <formula>3</formula>
    </cfRule>
  </conditionalFormatting>
  <conditionalFormatting sqref="T3">
    <cfRule type="cellIs" dxfId="21" priority="11" operator="lessThan">
      <formula>3</formula>
    </cfRule>
  </conditionalFormatting>
  <dataValidations disablePrompts="1" xWindow="746" yWindow="395" count="11">
    <dataValidation type="list" allowBlank="1" showInputMessage="1" showErrorMessage="1" sqref="K14:K16 K18:K24 K68:K74 K89:K90 K60:K66 K56:K58 K51:K53 K46:K49 K42:K44 K76:K80 K9:K12 K37:K40 K26:K31 K33:K35 K86:K87 K83:K84 K6:K7" xr:uid="{E3963242-1E12-4B3D-9A3D-818BDE3029BA}">
      <formula1>$F$3:$J$3</formula1>
    </dataValidation>
    <dataValidation type="list" allowBlank="1" showInputMessage="1" showErrorMessage="1" sqref="K91:M1048576" xr:uid="{93646FFD-EDDA-4966-9F45-B30E54D6A42B}">
      <formula1>$H$3:$J$3</formula1>
    </dataValidation>
    <dataValidation type="whole" allowBlank="1" showInputMessage="1" showErrorMessage="1" errorTitle="Importance value" error="Please write a number between 1 and 3." sqref="M6:M7 M9:M12 M14:M16 M56:M58 M26:M31 M33:M35 M89:M90 M37:M40 M42:M44 M46:M49 M51:M53 M60:M66 M68:M74 M76:M80 M83:M84 M86:M87 M18:M24" xr:uid="{DABA9670-ECCA-4C3E-BFA0-29BE3D4FEA00}">
      <formula1>1</formula1>
      <formula2>3</formula2>
    </dataValidation>
    <dataValidation type="whole" allowBlank="1" showInputMessage="1" showErrorMessage="1" errorTitle="Importance value" error="Please write a number between 0 and 3." prompt="0. Not applies_x000a_1. Desirable_x000a_2. Important_x000a_3. Very important" sqref="L31" xr:uid="{C823F10C-1B48-465A-87F5-21BA9EB6EB72}">
      <formula1>0</formula1>
      <formula2>3</formula2>
    </dataValidation>
    <dataValidation type="whole" allowBlank="1" showInputMessage="1" showErrorMessage="1" errorTitle="Importance value" error="Please write a number between 0 and 3." prompt="Leave blank if you don't want to customize this value_x000a_0. Not applies_x000a_1. Desirable_x000a_2. Important_x000a_3. Very important" sqref="L6:L7 L9:L12 L14:L16 L18:L24 L26:L30 L33:L35 L37:L40 L42:L44 L46:L49 L51:L53 L56:L58 L60:L66 L68:L74 L76:L80 L83:L84 L86:L87 L89:L90" xr:uid="{84452C91-D9E0-4B67-841A-AEB3C22D9445}">
      <formula1>0</formula1>
      <formula2>3</formula2>
    </dataValidation>
    <dataValidation allowBlank="1" showInputMessage="1" showErrorMessage="1" prompt="There are pending statements, please check" sqref="X5" xr:uid="{0FCB8C23-849F-4CBE-9B6B-CC32A0A6997C}"/>
    <dataValidation allowBlank="1" showInputMessage="1" showErrorMessage="1" prompt="Number of statements to answer" sqref="E8 E5" xr:uid="{8D3272E0-FB5F-48AA-9430-12B035FFC541}"/>
    <dataValidation allowBlank="1" showInputMessage="1" showErrorMessage="1" errorTitle="Importance value" error="Please write a number between 0 and 3." sqref="T5 T8 T88 T13 T25 T32 T36 T41 T45 T50 T55 T59 T67 T75 T82 T85 T17" xr:uid="{CB9171DD-158E-4255-A9E7-5CF932EFD1D9}"/>
    <dataValidation type="whole" allowBlank="1" showInputMessage="1" showErrorMessage="1" errorTitle="Importance value" error="Please write a number between 0 and 3." sqref="T5 T8 T17 T25 T32 T36" xr:uid="{43CDA2E7-EF1C-4839-B27A-E75113BF3B03}">
      <formula1>0</formula1>
      <formula2>3</formula2>
    </dataValidation>
    <dataValidation type="whole" allowBlank="1" showInputMessage="1" showErrorMessage="1" errorTitle="Importance value" error="Please write a number between 0 and 3." prompt="Leave blank if you don't want to customize this value. Otherwise:_x000a_0. Not apply_x000a_1. Desirable_x000a_2. Important_x000a_3. Very important" sqref="S5 S8 S13 S17 S25 S32 S36 S41 S45 S50 S55 S59 S67 S75 S82 S85 S88" xr:uid="{6A5342B0-1162-4336-B203-137025A851D9}">
      <formula1>0</formula1>
      <formula2>3</formula2>
    </dataValidation>
    <dataValidation allowBlank="1" showInputMessage="1" showErrorMessage="1" prompt="Number of subcriteria to evaluate" sqref="E50 E55 E59 E67 E75 E82 E85 E88 E13 E17 E25 E32 E36 E41 E45" xr:uid="{D7E10D99-1002-4B55-9751-9358DDDBA69C}"/>
  </dataValidation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17" operator="equal" id="{82B7F860-1BF6-4A83-9C48-D9C7DDC6F8D2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B6:C6</xm:sqref>
        </x14:conditionalFormatting>
        <x14:conditionalFormatting xmlns:xm="http://schemas.microsoft.com/office/excel/2006/main">
          <x14:cfRule type="cellIs" priority="64" operator="equal" id="{0B7A1F39-F4B4-4528-9321-92B4F12D5108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B7:C7</xm:sqref>
        </x14:conditionalFormatting>
        <x14:conditionalFormatting xmlns:xm="http://schemas.microsoft.com/office/excel/2006/main">
          <x14:cfRule type="cellIs" priority="63" operator="equal" id="{B0F4A4FC-1BCF-4B5C-B0A4-996C76C7CB78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B9:C12</xm:sqref>
        </x14:conditionalFormatting>
        <x14:conditionalFormatting xmlns:xm="http://schemas.microsoft.com/office/excel/2006/main">
          <x14:cfRule type="cellIs" priority="62" operator="equal" id="{3290E10C-CE19-443F-822C-46CADF8E9D04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B14:C16</xm:sqref>
        </x14:conditionalFormatting>
        <x14:conditionalFormatting xmlns:xm="http://schemas.microsoft.com/office/excel/2006/main">
          <x14:cfRule type="cellIs" priority="61" operator="equal" id="{2F71A9D5-59F9-4029-A88A-8FF10595797D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B18:C21</xm:sqref>
        </x14:conditionalFormatting>
        <x14:conditionalFormatting xmlns:xm="http://schemas.microsoft.com/office/excel/2006/main">
          <x14:cfRule type="cellIs" priority="60" operator="equal" id="{01CEE719-65BD-450B-BB28-2769B6C6A746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B22:C24</xm:sqref>
        </x14:conditionalFormatting>
        <x14:conditionalFormatting xmlns:xm="http://schemas.microsoft.com/office/excel/2006/main">
          <x14:cfRule type="cellIs" priority="59" operator="equal" id="{7435BEC4-369B-4C6C-9A6D-E0EB88851333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AC35:AC40</xm:sqref>
        </x14:conditionalFormatting>
        <x14:conditionalFormatting xmlns:xm="http://schemas.microsoft.com/office/excel/2006/main">
          <x14:cfRule type="cellIs" priority="20" operator="equal" id="{9B35F485-C055-43AF-A6FD-20250639A209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B26:C31</xm:sqref>
        </x14:conditionalFormatting>
        <x14:conditionalFormatting xmlns:xm="http://schemas.microsoft.com/office/excel/2006/main">
          <x14:cfRule type="cellIs" priority="19" operator="equal" id="{24B5129D-E1C0-4C0F-8B81-56A1C4B85ACA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B33:C35</xm:sqref>
        </x14:conditionalFormatting>
        <x14:conditionalFormatting xmlns:xm="http://schemas.microsoft.com/office/excel/2006/main">
          <x14:cfRule type="cellIs" priority="18" operator="equal" id="{D5E96514-F17F-498E-9A1D-0EC695DFDEBD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B37:C40</xm:sqref>
        </x14:conditionalFormatting>
        <x14:conditionalFormatting xmlns:xm="http://schemas.microsoft.com/office/excel/2006/main">
          <x14:cfRule type="cellIs" priority="15" operator="equal" id="{6C283A3C-4B22-4E6F-B7F4-A3885901C254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C5</xm:sqref>
        </x14:conditionalFormatting>
        <x14:conditionalFormatting xmlns:xm="http://schemas.microsoft.com/office/excel/2006/main">
          <x14:cfRule type="cellIs" priority="10" operator="equal" id="{1D3F349B-78EF-486B-A25A-B251B047D7DF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B42:C44</xm:sqref>
        </x14:conditionalFormatting>
        <x14:conditionalFormatting xmlns:xm="http://schemas.microsoft.com/office/excel/2006/main">
          <x14:cfRule type="cellIs" priority="9" operator="equal" id="{9E78423A-EFA3-42A4-8563-D0BB354336D7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B46:C49</xm:sqref>
        </x14:conditionalFormatting>
        <x14:conditionalFormatting xmlns:xm="http://schemas.microsoft.com/office/excel/2006/main">
          <x14:cfRule type="cellIs" priority="8" operator="equal" id="{ABAE5506-12B1-4462-B990-7879D4BE7142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B51:C53</xm:sqref>
        </x14:conditionalFormatting>
        <x14:conditionalFormatting xmlns:xm="http://schemas.microsoft.com/office/excel/2006/main">
          <x14:cfRule type="cellIs" priority="7" operator="equal" id="{45D2B65A-7EBC-4816-BE74-6A8B4D19F44E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B56:C58</xm:sqref>
        </x14:conditionalFormatting>
        <x14:conditionalFormatting xmlns:xm="http://schemas.microsoft.com/office/excel/2006/main">
          <x14:cfRule type="cellIs" priority="6" operator="equal" id="{31677B5A-4885-4108-9463-6078D1C7EB87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B60:C66</xm:sqref>
        </x14:conditionalFormatting>
        <x14:conditionalFormatting xmlns:xm="http://schemas.microsoft.com/office/excel/2006/main">
          <x14:cfRule type="cellIs" priority="5" operator="equal" id="{BBFF9AE5-AB10-4B53-91F1-21AB69FCB754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B68:C74</xm:sqref>
        </x14:conditionalFormatting>
        <x14:conditionalFormatting xmlns:xm="http://schemas.microsoft.com/office/excel/2006/main">
          <x14:cfRule type="cellIs" priority="4" operator="equal" id="{8AA143C7-7C2B-4301-B4CD-88368A4C1BD6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B76:C80</xm:sqref>
        </x14:conditionalFormatting>
        <x14:conditionalFormatting xmlns:xm="http://schemas.microsoft.com/office/excel/2006/main">
          <x14:cfRule type="cellIs" priority="3" operator="equal" id="{6C0C3360-F23C-4EB6-95AD-E26871E20349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B83:C84</xm:sqref>
        </x14:conditionalFormatting>
        <x14:conditionalFormatting xmlns:xm="http://schemas.microsoft.com/office/excel/2006/main">
          <x14:cfRule type="cellIs" priority="2" operator="equal" id="{3B70FECB-B322-4C2D-BACC-1CF1829E72B9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B86:C87</xm:sqref>
        </x14:conditionalFormatting>
        <x14:conditionalFormatting xmlns:xm="http://schemas.microsoft.com/office/excel/2006/main">
          <x14:cfRule type="cellIs" priority="1" operator="equal" id="{E55511C9-942A-4669-AED1-7CD6E53DB8C1}">
            <xm:f>'\Users\lufe0\Google Drive\Doctorate_Luisa\APPLIES\Expert review\[Survey.xlsx]Sources of data'!#REF!</xm:f>
            <x14:dxf>
              <font>
                <color rgb="FFC00000"/>
              </font>
            </x14:dxf>
          </x14:cfRule>
          <xm:sqref>B89:C90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67E3B-1DC7-45AE-86B4-B2DC4D252C71}">
  <sheetPr codeName="Hoja1"/>
  <dimension ref="A1:AE53"/>
  <sheetViews>
    <sheetView zoomScale="55" zoomScaleNormal="55" workbookViewId="0">
      <selection activeCell="R23" sqref="R23"/>
    </sheetView>
  </sheetViews>
  <sheetFormatPr baseColWidth="10" defaultRowHeight="15" x14ac:dyDescent="0.25"/>
  <cols>
    <col min="1" max="5" width="11.42578125" style="80"/>
    <col min="6" max="6" width="11.42578125" style="80" customWidth="1"/>
    <col min="7" max="12" width="11.42578125" style="80"/>
    <col min="13" max="13" width="14.85546875" style="80" customWidth="1"/>
    <col min="14" max="26" width="11.42578125" style="80"/>
    <col min="27" max="27" width="15.140625" style="80" customWidth="1"/>
    <col min="28" max="28" width="13.42578125" style="80" customWidth="1"/>
    <col min="29" max="33" width="11.42578125" style="80"/>
    <col min="34" max="34" width="48.140625" style="80" bestFit="1" customWidth="1"/>
    <col min="35" max="35" width="17.85546875" style="80" bestFit="1" customWidth="1"/>
    <col min="36" max="16384" width="11.42578125" style="80"/>
  </cols>
  <sheetData>
    <row r="1" spans="1:31" ht="15" customHeight="1" x14ac:dyDescent="0.25">
      <c r="A1" s="4"/>
      <c r="B1" s="4"/>
      <c r="C1" s="4"/>
      <c r="D1" s="298" t="str">
        <f>Data!C2</f>
        <v xml:space="preserve"> -- Preparation grid</v>
      </c>
      <c r="E1" s="298"/>
      <c r="F1" s="298"/>
      <c r="G1" s="298"/>
      <c r="H1" s="298"/>
      <c r="I1" s="298"/>
      <c r="J1" s="4"/>
      <c r="K1" s="4"/>
      <c r="L1" s="4"/>
      <c r="M1" s="4" t="s">
        <v>324</v>
      </c>
      <c r="N1" s="4"/>
      <c r="O1" s="4"/>
    </row>
    <row r="2" spans="1:31" ht="29.25" customHeight="1" x14ac:dyDescent="0.35">
      <c r="A2" s="4"/>
      <c r="B2" s="4"/>
      <c r="C2" s="4"/>
      <c r="D2" s="298"/>
      <c r="E2" s="298"/>
      <c r="F2" s="298"/>
      <c r="G2" s="298"/>
      <c r="H2" s="298"/>
      <c r="I2" s="298"/>
      <c r="J2" s="4"/>
      <c r="K2" s="4"/>
      <c r="L2" s="4"/>
      <c r="M2" s="4"/>
      <c r="N2" s="4"/>
      <c r="O2" s="4"/>
      <c r="Z2" s="189" t="s">
        <v>325</v>
      </c>
      <c r="AA2" s="184"/>
      <c r="AB2" s="189"/>
      <c r="AC2" s="189"/>
      <c r="AD2" s="189"/>
      <c r="AE2" s="189"/>
    </row>
    <row r="3" spans="1:31" ht="3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Z3" s="145" t="s">
        <v>321</v>
      </c>
      <c r="AA3" s="145" t="s">
        <v>336</v>
      </c>
      <c r="AB3" s="145" t="s">
        <v>116</v>
      </c>
      <c r="AC3" s="146" t="s">
        <v>335</v>
      </c>
      <c r="AD3" s="145" t="s">
        <v>42</v>
      </c>
      <c r="AE3" s="146" t="s">
        <v>342</v>
      </c>
    </row>
    <row r="4" spans="1:3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Z4" s="143" t="str">
        <f>AssessInstr!A88</f>
        <v>Internal</v>
      </c>
      <c r="AA4" s="143" t="str">
        <f>AssessInstr!B85</f>
        <v>Economic</v>
      </c>
      <c r="AB4" s="143" t="str">
        <f>AssessInstr!D85</f>
        <v>Readiness to do investments</v>
      </c>
      <c r="AC4" s="144" t="str">
        <f>AssessInstr!V85</f>
        <v>Important</v>
      </c>
      <c r="AD4" s="188">
        <f>AssessInstr!X85</f>
        <v>0</v>
      </c>
      <c r="AE4" s="187">
        <f>AssessInstr!U85</f>
        <v>2</v>
      </c>
    </row>
    <row r="5" spans="1:3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Z5" s="143" t="str">
        <f>AssessInstr!A85</f>
        <v>Internal</v>
      </c>
      <c r="AA5" s="143" t="str">
        <f>AssessInstr!B82</f>
        <v>Economic</v>
      </c>
      <c r="AB5" s="143" t="str">
        <f>AssessInstr!D82</f>
        <v>Economic indicators</v>
      </c>
      <c r="AC5" s="144" t="str">
        <f>AssessInstr!V82</f>
        <v>Desirable</v>
      </c>
      <c r="AD5" s="188">
        <f>AssessInstr!X82</f>
        <v>0</v>
      </c>
      <c r="AE5" s="187">
        <f>AssessInstr!U82</f>
        <v>1</v>
      </c>
    </row>
    <row r="6" spans="1:3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Z6" s="143" t="str">
        <f>AssessInstr!A88</f>
        <v>Internal</v>
      </c>
      <c r="AA6" s="143" t="str">
        <f>AssessInstr!B88</f>
        <v>Economic</v>
      </c>
      <c r="AB6" s="143" t="str">
        <f>AssessInstr!D88</f>
        <v>Readiness to pay migration costs</v>
      </c>
      <c r="AC6" s="144" t="str">
        <f>AssessInstr!V88</f>
        <v>Desirable</v>
      </c>
      <c r="AD6" s="188">
        <f>AssessInstr!X88</f>
        <v>0</v>
      </c>
      <c r="AE6" s="187">
        <f>AssessInstr!U88</f>
        <v>1</v>
      </c>
    </row>
    <row r="7" spans="1:3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Z7" s="143" t="str">
        <f>AssessInstr!A36</f>
        <v>Internal</v>
      </c>
      <c r="AA7" s="143" t="str">
        <f>AssessInstr!B32</f>
        <v>Operational</v>
      </c>
      <c r="AB7" s="143" t="str">
        <f>AssessInstr!D32</f>
        <v>Opennes</v>
      </c>
      <c r="AC7" s="144" t="str">
        <f>AssessInstr!V32</f>
        <v>Very important</v>
      </c>
      <c r="AD7" s="188">
        <f>AssessInstr!X32</f>
        <v>1</v>
      </c>
      <c r="AE7" s="187">
        <f>AssessInstr!U32</f>
        <v>3</v>
      </c>
    </row>
    <row r="8" spans="1:3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Z8" s="143" t="str">
        <f>AssessInstr!A25</f>
        <v>External</v>
      </c>
      <c r="AA8" s="143" t="str">
        <f>AssessInstr!B17</f>
        <v>Operational</v>
      </c>
      <c r="AB8" s="143" t="str">
        <f>AssessInstr!D17</f>
        <v>Domain knowledge</v>
      </c>
      <c r="AC8" s="144" t="str">
        <f>AssessInstr!V17</f>
        <v>Very important</v>
      </c>
      <c r="AD8" s="188">
        <f>AssessInstr!X17</f>
        <v>0</v>
      </c>
      <c r="AE8" s="187">
        <f>AssessInstr!U17</f>
        <v>3</v>
      </c>
    </row>
    <row r="9" spans="1:3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Z9" s="143" t="str">
        <f>AssessInstr!A50</f>
        <v>Internal</v>
      </c>
      <c r="AA9" s="143" t="str">
        <f>AssessInstr!B45</f>
        <v>Operational</v>
      </c>
      <c r="AB9" s="143" t="str">
        <f>AssessInstr!D45</f>
        <v>Process discipline</v>
      </c>
      <c r="AC9" s="144" t="str">
        <f>AssessInstr!V45</f>
        <v>Very important</v>
      </c>
      <c r="AD9" s="188">
        <f>AssessInstr!X45</f>
        <v>0</v>
      </c>
      <c r="AE9" s="187">
        <f>AssessInstr!U45</f>
        <v>3</v>
      </c>
    </row>
    <row r="10" spans="1:3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Z10" s="143" t="str">
        <f>AssessInstr!A5</f>
        <v>Internal</v>
      </c>
      <c r="AA10" s="143" t="str">
        <f>AssessInstr!B5</f>
        <v>Operational</v>
      </c>
      <c r="AB10" s="143" t="str">
        <f>AssessInstr!D5</f>
        <v>Commitment of key actors</v>
      </c>
      <c r="AC10" s="144" t="str">
        <f>AssessInstr!V5</f>
        <v>Very important</v>
      </c>
      <c r="AD10" s="188">
        <f>AssessInstr!X5</f>
        <v>0</v>
      </c>
      <c r="AE10" s="187">
        <f>AssessInstr!U5</f>
        <v>3</v>
      </c>
    </row>
    <row r="11" spans="1:3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Z11" s="143" t="str">
        <f>AssessInstr!A32</f>
        <v>Internal</v>
      </c>
      <c r="AA11" s="143" t="str">
        <f>AssessInstr!B25</f>
        <v>Operational</v>
      </c>
      <c r="AB11" s="143" t="str">
        <f>AssessInstr!D25</f>
        <v>Market potential</v>
      </c>
      <c r="AC11" s="144" t="str">
        <f>AssessInstr!V25</f>
        <v>Very important</v>
      </c>
      <c r="AD11" s="188">
        <f>AssessInstr!X25</f>
        <v>0</v>
      </c>
      <c r="AE11" s="187">
        <f>AssessInstr!U25</f>
        <v>3</v>
      </c>
    </row>
    <row r="12" spans="1:3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Z12" s="143" t="str">
        <f>AssessInstr!A41</f>
        <v>Internal</v>
      </c>
      <c r="AA12" s="143" t="str">
        <f>AssessInstr!B36</f>
        <v>Operational</v>
      </c>
      <c r="AB12" s="143" t="str">
        <f>AssessInstr!D36</f>
        <v>Organizational williness</v>
      </c>
      <c r="AC12" s="144" t="str">
        <f>AssessInstr!V36</f>
        <v>Very important</v>
      </c>
      <c r="AD12" s="188">
        <f>AssessInstr!X36</f>
        <v>0</v>
      </c>
      <c r="AE12" s="187">
        <f>AssessInstr!U36</f>
        <v>3</v>
      </c>
    </row>
    <row r="13" spans="1:3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Z13" s="143" t="str">
        <f>AssessInstr!A55</f>
        <v>Internal</v>
      </c>
      <c r="AA13" s="143" t="str">
        <f>AssessInstr!B50</f>
        <v>Operational</v>
      </c>
      <c r="AB13" s="143" t="str">
        <f>AssessInstr!D50</f>
        <v>Product line awareness</v>
      </c>
      <c r="AC13" s="144" t="str">
        <f>AssessInstr!V50</f>
        <v>Very important</v>
      </c>
      <c r="AD13" s="188">
        <f>AssessInstr!X50</f>
        <v>0</v>
      </c>
      <c r="AE13" s="187">
        <f>AssessInstr!U50</f>
        <v>3</v>
      </c>
    </row>
    <row r="14" spans="1:3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Z14" s="143" t="str">
        <f>AssessInstr!A17</f>
        <v>Internal</v>
      </c>
      <c r="AA14" s="143" t="str">
        <f>AssessInstr!B13</f>
        <v>Operational</v>
      </c>
      <c r="AB14" s="143" t="str">
        <f>AssessInstr!D13</f>
        <v xml:space="preserve"> Degree of control over product specification</v>
      </c>
      <c r="AC14" s="144" t="str">
        <f>AssessInstr!V13</f>
        <v>Important</v>
      </c>
      <c r="AD14" s="188">
        <f>AssessInstr!X13</f>
        <v>0</v>
      </c>
      <c r="AE14" s="187">
        <f>AssessInstr!U13</f>
        <v>2</v>
      </c>
    </row>
    <row r="15" spans="1:3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Z15" s="143" t="str">
        <f>AssessInstr!A45</f>
        <v>Internal</v>
      </c>
      <c r="AA15" s="143" t="str">
        <f>AssessInstr!B41</f>
        <v>Operational</v>
      </c>
      <c r="AB15" s="143" t="str">
        <f>AssessInstr!D41</f>
        <v>Potential products</v>
      </c>
      <c r="AC15" s="144" t="str">
        <f>AssessInstr!V41</f>
        <v>Desirable</v>
      </c>
      <c r="AD15" s="188">
        <f>AssessInstr!X41</f>
        <v>0</v>
      </c>
      <c r="AE15" s="187">
        <f>AssessInstr!U41</f>
        <v>1</v>
      </c>
    </row>
    <row r="16" spans="1:3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Z16" s="143" t="str">
        <f>AssessInstr!A8</f>
        <v>Internal</v>
      </c>
      <c r="AA16" s="143" t="str">
        <f>AssessInstr!B8</f>
        <v>Operational</v>
      </c>
      <c r="AB16" s="143" t="str">
        <f>AssessInstr!D8</f>
        <v>Customers connection</v>
      </c>
      <c r="AC16" s="144" t="str">
        <f>AssessInstr!V8</f>
        <v>Important</v>
      </c>
      <c r="AD16" s="188">
        <f>AssessInstr!X8</f>
        <v>0</v>
      </c>
      <c r="AE16" s="187">
        <f>AssessInstr!U8</f>
        <v>2</v>
      </c>
    </row>
    <row r="17" spans="1:3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Z17" s="143" t="str">
        <f>AssessInstr!A59</f>
        <v>Internal</v>
      </c>
      <c r="AA17" s="143" t="str">
        <f>AssessInstr!B55</f>
        <v>Technical</v>
      </c>
      <c r="AB17" s="143" t="str">
        <f>AssessInstr!D55</f>
        <v>Commonality and variability</v>
      </c>
      <c r="AC17" s="144" t="str">
        <f>AssessInstr!V55</f>
        <v>Very important</v>
      </c>
      <c r="AD17" s="188">
        <f>AssessInstr!X55</f>
        <v>0</v>
      </c>
      <c r="AE17" s="187">
        <f>AssessInstr!U55</f>
        <v>3</v>
      </c>
    </row>
    <row r="18" spans="1:3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Z18" s="143" t="str">
        <f>AssessInstr!A82</f>
        <v>Internal</v>
      </c>
      <c r="AA18" s="143" t="str">
        <f>AssessInstr!B75</f>
        <v>Technical</v>
      </c>
      <c r="AB18" s="143" t="str">
        <f>AssessInstr!D75</f>
        <v>Software engineering capability</v>
      </c>
      <c r="AC18" s="144" t="str">
        <f>AssessInstr!V75</f>
        <v>Very important</v>
      </c>
      <c r="AD18" s="188">
        <f>AssessInstr!X75</f>
        <v>0</v>
      </c>
      <c r="AE18" s="187">
        <f>AssessInstr!U75</f>
        <v>3</v>
      </c>
    </row>
    <row r="19" spans="1:3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Z19" s="143" t="str">
        <f>AssessInstr!A75</f>
        <v>Internal</v>
      </c>
      <c r="AA19" s="143" t="str">
        <f>AssessInstr!B67</f>
        <v>Technical</v>
      </c>
      <c r="AB19" s="143" t="str">
        <f>AssessInstr!D67</f>
        <v>Reuse potential</v>
      </c>
      <c r="AC19" s="144" t="str">
        <f>AssessInstr!V67</f>
        <v>Very important</v>
      </c>
      <c r="AD19" s="188">
        <f>AssessInstr!X67</f>
        <v>0</v>
      </c>
      <c r="AE19" s="187">
        <f>AssessInstr!U67</f>
        <v>3</v>
      </c>
    </row>
    <row r="20" spans="1:3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Z20" s="143" t="str">
        <f>AssessInstr!A67</f>
        <v>Internal</v>
      </c>
      <c r="AA20" s="143" t="str">
        <f>AssessInstr!B59</f>
        <v>Technical</v>
      </c>
      <c r="AB20" s="143" t="str">
        <f>AssessInstr!D59</f>
        <v>Reuse aptitute</v>
      </c>
      <c r="AC20" s="144" t="str">
        <f>AssessInstr!V59</f>
        <v>Desirable</v>
      </c>
      <c r="AD20" s="188">
        <f>AssessInstr!X59</f>
        <v>0</v>
      </c>
      <c r="AE20" s="187">
        <f>AssessInstr!U59</f>
        <v>1</v>
      </c>
    </row>
    <row r="21" spans="1:3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</row>
    <row r="22" spans="1:3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</row>
    <row r="23" spans="1:3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</row>
    <row r="24" spans="1:3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Z24" s="167" t="s">
        <v>337</v>
      </c>
    </row>
    <row r="25" spans="1:3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Z25" s="167" t="s">
        <v>9</v>
      </c>
    </row>
    <row r="26" spans="1:3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Z26" s="167" t="str">
        <f>IF(AC7=Data!A10,'Preparation grid'!AB7,"")</f>
        <v>Opennes</v>
      </c>
      <c r="AA26" s="167" t="s">
        <v>415</v>
      </c>
      <c r="AB26" s="167"/>
      <c r="AC26" s="167"/>
      <c r="AD26" s="167"/>
      <c r="AE26" s="167"/>
    </row>
    <row r="27" spans="1:3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Z27" s="167">
        <f>IF(Z26&lt;&gt;"",AD7,"")</f>
        <v>1</v>
      </c>
      <c r="AA27" s="167"/>
      <c r="AB27" s="167"/>
      <c r="AC27" s="167"/>
      <c r="AD27" s="167"/>
      <c r="AE27" s="167"/>
    </row>
    <row r="28" spans="1:3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Z28" s="167"/>
      <c r="AA28" s="251" t="s">
        <v>343</v>
      </c>
      <c r="AB28" s="167"/>
      <c r="AC28" s="167"/>
      <c r="AD28" s="167"/>
      <c r="AE28" s="167"/>
    </row>
    <row r="29" spans="1:3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Z29" s="167"/>
      <c r="AA29" s="104" t="s">
        <v>51</v>
      </c>
      <c r="AB29" s="104" t="s">
        <v>335</v>
      </c>
      <c r="AC29" s="104" t="s">
        <v>42</v>
      </c>
      <c r="AD29" s="167"/>
      <c r="AE29" s="167"/>
    </row>
    <row r="30" spans="1:3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Z30" s="167">
        <v>1</v>
      </c>
      <c r="AA30" s="167" t="str">
        <f>IF(AA4=Data!$C$10,'Preparation grid'!AB4,"")</f>
        <v/>
      </c>
      <c r="AB30" s="167" t="str">
        <f t="shared" ref="AB30:AB46" si="0">IF(AA30&lt;&gt;"",AC4,"")</f>
        <v/>
      </c>
      <c r="AC30" s="252" t="str">
        <f t="shared" ref="AC30:AC46" si="1">IF(AA30&lt;&gt;"",AD4,"")</f>
        <v/>
      </c>
      <c r="AD30" s="167"/>
      <c r="AE30" s="167"/>
    </row>
    <row r="31" spans="1:3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Z31" s="167">
        <v>2</v>
      </c>
      <c r="AA31" s="167" t="str">
        <f>IF(AA5=Data!$C$10,'Preparation grid'!AB5,"")</f>
        <v/>
      </c>
      <c r="AB31" s="167" t="str">
        <f t="shared" si="0"/>
        <v/>
      </c>
      <c r="AC31" s="252" t="str">
        <f t="shared" si="1"/>
        <v/>
      </c>
      <c r="AD31" s="167"/>
      <c r="AE31" s="167"/>
    </row>
    <row r="32" spans="1:3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Z32" s="167">
        <v>3</v>
      </c>
      <c r="AA32" s="167" t="str">
        <f>IF(AA6=Data!$C$10,'Preparation grid'!AB6,"")</f>
        <v/>
      </c>
      <c r="AB32" s="167" t="str">
        <f t="shared" si="0"/>
        <v/>
      </c>
      <c r="AC32" s="252" t="str">
        <f t="shared" si="1"/>
        <v/>
      </c>
      <c r="AD32" s="167"/>
      <c r="AE32" s="167"/>
    </row>
    <row r="33" spans="1:3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Z33" s="167">
        <v>4</v>
      </c>
      <c r="AA33" s="167" t="str">
        <f>IF(AA7=Data!$C$10,'Preparation grid'!AB7,"")</f>
        <v>Opennes</v>
      </c>
      <c r="AB33" s="167" t="str">
        <f t="shared" si="0"/>
        <v>Very important</v>
      </c>
      <c r="AC33" s="252">
        <f t="shared" si="1"/>
        <v>1</v>
      </c>
      <c r="AD33" s="167"/>
      <c r="AE33" s="167"/>
    </row>
    <row r="34" spans="1:3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Z34" s="167">
        <v>5</v>
      </c>
      <c r="AA34" s="167" t="str">
        <f>IF(AA8=Data!$C$10,'Preparation grid'!AB8,"")</f>
        <v>Domain knowledge</v>
      </c>
      <c r="AB34" s="167" t="str">
        <f t="shared" si="0"/>
        <v>Very important</v>
      </c>
      <c r="AC34" s="252">
        <f t="shared" si="1"/>
        <v>0</v>
      </c>
      <c r="AD34" s="167"/>
      <c r="AE34" s="167"/>
    </row>
    <row r="35" spans="1:3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Z35" s="167">
        <v>6</v>
      </c>
      <c r="AA35" s="167" t="str">
        <f>IF(AA9=Data!$C$10,'Preparation grid'!AB9,"")</f>
        <v>Process discipline</v>
      </c>
      <c r="AB35" s="167" t="str">
        <f t="shared" si="0"/>
        <v>Very important</v>
      </c>
      <c r="AC35" s="252">
        <f t="shared" si="1"/>
        <v>0</v>
      </c>
      <c r="AD35" s="167"/>
      <c r="AE35" s="167"/>
    </row>
    <row r="36" spans="1:3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Z36" s="167">
        <v>7</v>
      </c>
      <c r="AA36" s="167" t="str">
        <f>IF(AA10=Data!$C$10,'Preparation grid'!AB10,"")</f>
        <v>Commitment of key actors</v>
      </c>
      <c r="AB36" s="167" t="str">
        <f t="shared" si="0"/>
        <v>Very important</v>
      </c>
      <c r="AC36" s="252">
        <f t="shared" si="1"/>
        <v>0</v>
      </c>
      <c r="AD36" s="167"/>
      <c r="AE36" s="167"/>
    </row>
    <row r="37" spans="1:3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Z37" s="167">
        <v>8</v>
      </c>
      <c r="AA37" s="167" t="str">
        <f>IF(AA11=Data!$C$10,'Preparation grid'!AB11,"")</f>
        <v>Market potential</v>
      </c>
      <c r="AB37" s="167" t="str">
        <f t="shared" si="0"/>
        <v>Very important</v>
      </c>
      <c r="AC37" s="252">
        <f t="shared" si="1"/>
        <v>0</v>
      </c>
      <c r="AD37" s="167"/>
      <c r="AE37" s="167"/>
    </row>
    <row r="38" spans="1:3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Z38" s="167">
        <v>9</v>
      </c>
      <c r="AA38" s="167" t="str">
        <f>IF(AA12=Data!$C$10,'Preparation grid'!AB12,"")</f>
        <v>Organizational williness</v>
      </c>
      <c r="AB38" s="167" t="str">
        <f t="shared" si="0"/>
        <v>Very important</v>
      </c>
      <c r="AC38" s="252">
        <f t="shared" si="1"/>
        <v>0</v>
      </c>
      <c r="AD38" s="167"/>
      <c r="AE38" s="167"/>
    </row>
    <row r="39" spans="1:3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Z39" s="167">
        <v>10</v>
      </c>
      <c r="AA39" s="167" t="str">
        <f>IF(AA13=Data!$C$10,'Preparation grid'!AB13,"")</f>
        <v>Product line awareness</v>
      </c>
      <c r="AB39" s="167" t="str">
        <f t="shared" si="0"/>
        <v>Very important</v>
      </c>
      <c r="AC39" s="252">
        <f t="shared" si="1"/>
        <v>0</v>
      </c>
      <c r="AD39" s="167"/>
      <c r="AE39" s="167"/>
    </row>
    <row r="40" spans="1:3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Z40" s="167">
        <v>11</v>
      </c>
      <c r="AA40" s="167" t="str">
        <f>IF(AA14=Data!$C$10,'Preparation grid'!AB14,"")</f>
        <v xml:space="preserve"> Degree of control over product specification</v>
      </c>
      <c r="AB40" s="167" t="str">
        <f t="shared" si="0"/>
        <v>Important</v>
      </c>
      <c r="AC40" s="252">
        <f t="shared" si="1"/>
        <v>0</v>
      </c>
      <c r="AD40" s="167"/>
      <c r="AE40" s="167"/>
    </row>
    <row r="41" spans="1:31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Z41" s="167">
        <v>12</v>
      </c>
      <c r="AA41" s="167" t="str">
        <f>IF(AA15=Data!$C$10,'Preparation grid'!AB15,"")</f>
        <v>Potential products</v>
      </c>
      <c r="AB41" s="167" t="str">
        <f t="shared" si="0"/>
        <v>Desirable</v>
      </c>
      <c r="AC41" s="252">
        <f t="shared" si="1"/>
        <v>0</v>
      </c>
      <c r="AD41" s="167"/>
      <c r="AE41" s="167"/>
    </row>
    <row r="42" spans="1:31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Z42" s="167">
        <v>13</v>
      </c>
      <c r="AA42" s="167" t="str">
        <f>IF(AA16=Data!$C$10,'Preparation grid'!AB16,"")</f>
        <v>Customers connection</v>
      </c>
      <c r="AB42" s="167" t="str">
        <f t="shared" si="0"/>
        <v>Important</v>
      </c>
      <c r="AC42" s="252">
        <f t="shared" si="1"/>
        <v>0</v>
      </c>
      <c r="AD42" s="167"/>
      <c r="AE42" s="167"/>
    </row>
    <row r="43" spans="1:31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Z43" s="167">
        <v>14</v>
      </c>
      <c r="AA43" s="167" t="str">
        <f>IF(AA18=Data!$C$10,'Preparation grid'!AB18,"")</f>
        <v/>
      </c>
      <c r="AB43" s="167" t="str">
        <f t="shared" si="0"/>
        <v/>
      </c>
      <c r="AC43" s="252" t="str">
        <f t="shared" si="1"/>
        <v/>
      </c>
      <c r="AD43" s="167"/>
      <c r="AE43" s="167"/>
    </row>
    <row r="44" spans="1:31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Z44" s="167">
        <v>15</v>
      </c>
      <c r="AA44" s="167" t="str">
        <f>IF(AA19=Data!$C$10,'Preparation grid'!AB19,"")</f>
        <v/>
      </c>
      <c r="AB44" s="167" t="str">
        <f t="shared" si="0"/>
        <v/>
      </c>
      <c r="AC44" s="252" t="str">
        <f t="shared" si="1"/>
        <v/>
      </c>
      <c r="AD44" s="167"/>
      <c r="AE44" s="167"/>
    </row>
    <row r="45" spans="1:31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Z45" s="167">
        <v>16</v>
      </c>
      <c r="AA45" s="167" t="str">
        <f>IF(AA20=Data!$C$10,'Preparation grid'!AB20,"")</f>
        <v/>
      </c>
      <c r="AB45" s="167" t="str">
        <f t="shared" si="0"/>
        <v/>
      </c>
      <c r="AC45" s="252" t="str">
        <f t="shared" si="1"/>
        <v/>
      </c>
      <c r="AD45" s="167"/>
      <c r="AE45" s="167"/>
    </row>
    <row r="46" spans="1:31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Z46" s="167">
        <v>17</v>
      </c>
      <c r="AA46" s="167" t="str">
        <f>IF(AA21=Data!$C$10,'Preparation grid'!AB21,"")</f>
        <v/>
      </c>
      <c r="AB46" s="167" t="str">
        <f t="shared" si="0"/>
        <v/>
      </c>
      <c r="AC46" s="252" t="str">
        <f t="shared" si="1"/>
        <v/>
      </c>
      <c r="AD46" s="167"/>
      <c r="AE46" s="167"/>
    </row>
    <row r="47" spans="1:31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Z47" s="80" t="str">
        <f>IF(AA22=Data!$C$10,'Preparation grid'!AB22,"")</f>
        <v/>
      </c>
      <c r="AA47" s="80" t="str">
        <f>IF(Z47&lt;&gt;"",AC21,"")</f>
        <v/>
      </c>
      <c r="AB47" s="80" t="str">
        <f>IF(Z47&lt;&gt;"",AD21,"")</f>
        <v/>
      </c>
    </row>
    <row r="48" spans="1:31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Z48" s="80" t="str">
        <f>IF(AA23=Data!$C$10,'Preparation grid'!AB23,"")</f>
        <v/>
      </c>
      <c r="AB48" s="80" t="str">
        <f>IF(Z48&lt;&gt;"",AD22,"")</f>
        <v/>
      </c>
    </row>
    <row r="49" spans="1:26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Z49" s="80" t="str">
        <f>IF(AA24=Data!$C$10,'Preparation grid'!AB24,"")</f>
        <v/>
      </c>
    </row>
    <row r="50" spans="1:26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</row>
    <row r="51" spans="1:26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</row>
    <row r="52" spans="1:26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</row>
    <row r="53" spans="1:26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</row>
  </sheetData>
  <mergeCells count="1">
    <mergeCell ref="D1:I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F5380-385D-439D-9597-39F82DAB78CE}">
  <sheetPr codeName="Hoja12"/>
  <dimension ref="B1:B29"/>
  <sheetViews>
    <sheetView zoomScaleNormal="100" workbookViewId="0">
      <selection activeCell="G9" sqref="G9"/>
    </sheetView>
  </sheetViews>
  <sheetFormatPr baseColWidth="10" defaultRowHeight="15" x14ac:dyDescent="0.25"/>
  <cols>
    <col min="1" max="1" width="46.7109375" bestFit="1" customWidth="1"/>
    <col min="2" max="2" width="17.85546875" style="9" bestFit="1" customWidth="1"/>
  </cols>
  <sheetData>
    <row r="1" spans="2:2" x14ac:dyDescent="0.25">
      <c r="B1"/>
    </row>
    <row r="2" spans="2:2" x14ac:dyDescent="0.25">
      <c r="B2"/>
    </row>
    <row r="3" spans="2:2" x14ac:dyDescent="0.25">
      <c r="B3"/>
    </row>
    <row r="4" spans="2:2" x14ac:dyDescent="0.25">
      <c r="B4"/>
    </row>
    <row r="5" spans="2:2" x14ac:dyDescent="0.25">
      <c r="B5"/>
    </row>
    <row r="6" spans="2:2" x14ac:dyDescent="0.25">
      <c r="B6"/>
    </row>
    <row r="7" spans="2:2" x14ac:dyDescent="0.25">
      <c r="B7"/>
    </row>
    <row r="8" spans="2:2" x14ac:dyDescent="0.25">
      <c r="B8"/>
    </row>
    <row r="9" spans="2:2" x14ac:dyDescent="0.25">
      <c r="B9"/>
    </row>
    <row r="10" spans="2:2" x14ac:dyDescent="0.25">
      <c r="B10"/>
    </row>
    <row r="11" spans="2:2" x14ac:dyDescent="0.25">
      <c r="B11"/>
    </row>
    <row r="12" spans="2:2" x14ac:dyDescent="0.25">
      <c r="B12"/>
    </row>
    <row r="13" spans="2:2" x14ac:dyDescent="0.25">
      <c r="B13"/>
    </row>
    <row r="14" spans="2:2" x14ac:dyDescent="0.25">
      <c r="B14"/>
    </row>
    <row r="15" spans="2:2" x14ac:dyDescent="0.25">
      <c r="B15"/>
    </row>
    <row r="16" spans="2:2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PerfomanceByDimension">
                <anchor moveWithCells="1" sizeWithCells="1">
                  <from>
                    <xdr:col>1</xdr:col>
                    <xdr:colOff>276225</xdr:colOff>
                    <xdr:row>0</xdr:row>
                    <xdr:rowOff>47625</xdr:rowOff>
                  </from>
                  <to>
                    <xdr:col>1</xdr:col>
                    <xdr:colOff>1104900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840B-A53D-4ECB-ACA4-A7AB6ED8ED59}">
  <sheetPr codeName="Hoja4"/>
  <dimension ref="A1:AA362"/>
  <sheetViews>
    <sheetView showGridLines="0" topLeftCell="J378" zoomScale="55" zoomScaleNormal="55" workbookViewId="0">
      <selection activeCell="AH115" sqref="AH115"/>
    </sheetView>
  </sheetViews>
  <sheetFormatPr baseColWidth="10" defaultRowHeight="15" x14ac:dyDescent="0.25"/>
  <cols>
    <col min="8" max="8" width="31.7109375" customWidth="1"/>
    <col min="10" max="10" width="15.140625" bestFit="1" customWidth="1"/>
    <col min="22" max="22" width="18" customWidth="1"/>
    <col min="24" max="24" width="21.140625" customWidth="1"/>
  </cols>
  <sheetData>
    <row r="1" spans="1:15" s="13" customFormat="1" ht="30" x14ac:dyDescent="0.25">
      <c r="A1" s="6"/>
      <c r="B1" s="13" t="s">
        <v>50</v>
      </c>
      <c r="C1" s="13" t="s">
        <v>51</v>
      </c>
      <c r="D1" s="13" t="s">
        <v>42</v>
      </c>
      <c r="E1" s="3" t="s">
        <v>57</v>
      </c>
      <c r="F1" s="3" t="s">
        <v>58</v>
      </c>
      <c r="G1" s="3" t="s">
        <v>59</v>
      </c>
      <c r="H1" s="15" t="s">
        <v>54</v>
      </c>
      <c r="I1" s="15" t="s">
        <v>55</v>
      </c>
      <c r="J1" s="15" t="s">
        <v>56</v>
      </c>
      <c r="N1" s="13" t="s">
        <v>61</v>
      </c>
    </row>
    <row r="2" spans="1:15" x14ac:dyDescent="0.25">
      <c r="A2" s="7" t="s">
        <v>52</v>
      </c>
      <c r="B2" s="2" t="str">
        <f>AssessInstr!B5</f>
        <v>Operational</v>
      </c>
      <c r="C2" s="2" t="str">
        <f>AssessInstr!D5</f>
        <v>Commitment of key actors</v>
      </c>
      <c r="D2" s="9">
        <f>AssessInstr!X5</f>
        <v>0</v>
      </c>
      <c r="E2" s="2">
        <f>AssessInstr!R5</f>
        <v>3</v>
      </c>
      <c r="F2" s="2">
        <f>AssessInstr!S5</f>
        <v>0</v>
      </c>
      <c r="G2" s="2">
        <f>AVERAGE(E2:F2)</f>
        <v>1.5</v>
      </c>
      <c r="H2" s="16" t="str">
        <f>_xlfn.CONCAT(A2,C2)</f>
        <v>Op.Commitment of key actors</v>
      </c>
      <c r="I2" s="17">
        <f>D2</f>
        <v>0</v>
      </c>
      <c r="J2" s="8">
        <f>G2</f>
        <v>1.5</v>
      </c>
      <c r="K2" t="s">
        <v>62</v>
      </c>
      <c r="N2" s="3">
        <v>1</v>
      </c>
      <c r="O2" s="3">
        <v>1</v>
      </c>
    </row>
    <row r="3" spans="1:15" x14ac:dyDescent="0.25">
      <c r="A3" s="7" t="s">
        <v>52</v>
      </c>
      <c r="B3" s="12" t="str">
        <f>AssessInstr!B17</f>
        <v>Operational</v>
      </c>
      <c r="C3" t="str">
        <f>AssessInstr!D17</f>
        <v>Domain knowledge</v>
      </c>
      <c r="D3" s="9">
        <f>AssessInstr!X17</f>
        <v>0</v>
      </c>
      <c r="E3" s="2">
        <f>AssessInstr!R17</f>
        <v>3</v>
      </c>
      <c r="F3" s="2">
        <f>AssessInstr!S17</f>
        <v>0</v>
      </c>
      <c r="G3" s="2">
        <f t="shared" ref="G3:G8" si="0">AVERAGE(E3:F3)</f>
        <v>1.5</v>
      </c>
      <c r="H3" s="16" t="str">
        <f t="shared" ref="H3:H8" si="1">_xlfn.CONCAT(A3,C3)</f>
        <v>Op.Domain knowledge</v>
      </c>
      <c r="I3" s="17">
        <f t="shared" ref="I3:I8" si="2">D3</f>
        <v>0</v>
      </c>
      <c r="J3" s="8">
        <f t="shared" ref="J3:J8" si="3">G3</f>
        <v>1.5</v>
      </c>
      <c r="K3" t="s">
        <v>63</v>
      </c>
      <c r="N3" s="2">
        <v>1</v>
      </c>
      <c r="O3" s="2">
        <v>2</v>
      </c>
    </row>
    <row r="4" spans="1:15" x14ac:dyDescent="0.25">
      <c r="A4" s="7" t="s">
        <v>52</v>
      </c>
      <c r="B4" s="12" t="str">
        <f>AssessInstr!B25</f>
        <v>Operational</v>
      </c>
      <c r="C4" t="str">
        <f>AssessInstr!D25</f>
        <v>Market potential</v>
      </c>
      <c r="D4" s="9">
        <f>AssessInstr!X25</f>
        <v>0</v>
      </c>
      <c r="E4" s="2">
        <f>AssessInstr!R25</f>
        <v>3</v>
      </c>
      <c r="F4" s="2">
        <f>AssessInstr!S25</f>
        <v>0</v>
      </c>
      <c r="G4" s="2">
        <f t="shared" si="0"/>
        <v>1.5</v>
      </c>
      <c r="H4" s="16" t="str">
        <f t="shared" si="1"/>
        <v>Op.Market potential</v>
      </c>
      <c r="I4" s="17">
        <f t="shared" si="2"/>
        <v>0</v>
      </c>
      <c r="J4" s="8">
        <f t="shared" si="3"/>
        <v>1.5</v>
      </c>
      <c r="K4" t="s">
        <v>63</v>
      </c>
      <c r="N4" s="2">
        <v>2</v>
      </c>
      <c r="O4" s="2">
        <v>3</v>
      </c>
    </row>
    <row r="5" spans="1:15" x14ac:dyDescent="0.25">
      <c r="A5" s="7" t="s">
        <v>52</v>
      </c>
      <c r="B5" s="12" t="str">
        <f>AssessInstr!B32</f>
        <v>Operational</v>
      </c>
      <c r="C5" t="str">
        <f>AssessInstr!D32</f>
        <v>Opennes</v>
      </c>
      <c r="D5" s="9">
        <f>AssessInstr!X32</f>
        <v>1</v>
      </c>
      <c r="E5" s="2">
        <f>AssessInstr!R32</f>
        <v>3</v>
      </c>
      <c r="F5" s="2">
        <f>AssessInstr!S32</f>
        <v>0</v>
      </c>
      <c r="G5" s="2">
        <f t="shared" si="0"/>
        <v>1.5</v>
      </c>
      <c r="H5" s="16" t="str">
        <f t="shared" si="1"/>
        <v>Op.Opennes</v>
      </c>
      <c r="I5" s="17">
        <f t="shared" si="2"/>
        <v>1</v>
      </c>
      <c r="J5" s="8">
        <f t="shared" si="3"/>
        <v>1.5</v>
      </c>
      <c r="K5" t="s">
        <v>64</v>
      </c>
      <c r="N5" s="2">
        <v>2</v>
      </c>
      <c r="O5" s="2">
        <v>3</v>
      </c>
    </row>
    <row r="6" spans="1:15" x14ac:dyDescent="0.25">
      <c r="A6" s="7" t="s">
        <v>52</v>
      </c>
      <c r="B6" s="12" t="str">
        <f>AssessInstr!B36</f>
        <v>Operational</v>
      </c>
      <c r="C6" t="str">
        <f>AssessInstr!D36</f>
        <v>Organizational williness</v>
      </c>
      <c r="D6" s="9">
        <f>AssessInstr!X36</f>
        <v>0</v>
      </c>
      <c r="E6" s="2">
        <f>AssessInstr!R36</f>
        <v>3</v>
      </c>
      <c r="F6" s="2">
        <f>AssessInstr!S36</f>
        <v>0</v>
      </c>
      <c r="G6" s="2">
        <f t="shared" si="0"/>
        <v>1.5</v>
      </c>
      <c r="H6" s="16" t="str">
        <f t="shared" si="1"/>
        <v>Op.Organizational williness</v>
      </c>
      <c r="I6" s="17">
        <f t="shared" si="2"/>
        <v>0</v>
      </c>
      <c r="J6" s="8">
        <f t="shared" si="3"/>
        <v>1.5</v>
      </c>
      <c r="K6" t="s">
        <v>65</v>
      </c>
      <c r="N6" s="2">
        <v>3</v>
      </c>
      <c r="O6" s="2">
        <v>4</v>
      </c>
    </row>
    <row r="7" spans="1:15" x14ac:dyDescent="0.25">
      <c r="A7" s="7" t="s">
        <v>53</v>
      </c>
      <c r="B7" s="12" t="str">
        <f>AssessInstr!B55</f>
        <v>Technical</v>
      </c>
      <c r="C7" t="str">
        <f>AssessInstr!D55</f>
        <v>Commonality and variability</v>
      </c>
      <c r="D7" s="9">
        <f>AssessInstr!X50</f>
        <v>0</v>
      </c>
      <c r="E7" s="2">
        <f>AssessInstr!R50</f>
        <v>3</v>
      </c>
      <c r="F7" s="2">
        <f>AssessInstr!S50</f>
        <v>0</v>
      </c>
      <c r="G7" s="2">
        <f t="shared" si="0"/>
        <v>1.5</v>
      </c>
      <c r="H7" s="16" t="str">
        <f t="shared" si="1"/>
        <v>Tech.Commonality and variability</v>
      </c>
      <c r="I7" s="17">
        <f t="shared" si="2"/>
        <v>0</v>
      </c>
      <c r="J7" s="8">
        <f t="shared" si="3"/>
        <v>1.5</v>
      </c>
      <c r="K7" t="s">
        <v>63</v>
      </c>
      <c r="N7" s="2"/>
      <c r="O7" s="2"/>
    </row>
    <row r="8" spans="1:15" x14ac:dyDescent="0.25">
      <c r="A8" s="7" t="s">
        <v>53</v>
      </c>
      <c r="B8" s="12" t="str">
        <f>AssessInstr!B59</f>
        <v>Technical</v>
      </c>
      <c r="C8" t="str">
        <f>AssessInstr!D59</f>
        <v>Reuse aptitute</v>
      </c>
      <c r="D8" s="9" t="e">
        <f>AssessInstr!#REF!</f>
        <v>#REF!</v>
      </c>
      <c r="E8" s="2" t="e">
        <f>AssessInstr!#REF!</f>
        <v>#REF!</v>
      </c>
      <c r="F8" s="2" t="e">
        <f>AssessInstr!#REF!</f>
        <v>#REF!</v>
      </c>
      <c r="G8" s="2" t="e">
        <f t="shared" si="0"/>
        <v>#REF!</v>
      </c>
      <c r="H8" s="16" t="str">
        <f t="shared" si="1"/>
        <v>Tech.Reuse aptitute</v>
      </c>
      <c r="I8" s="17" t="e">
        <f t="shared" si="2"/>
        <v>#REF!</v>
      </c>
      <c r="J8" s="8" t="e">
        <f t="shared" si="3"/>
        <v>#REF!</v>
      </c>
      <c r="K8" t="s">
        <v>62</v>
      </c>
    </row>
    <row r="13" spans="1:15" ht="15.75" customHeight="1" x14ac:dyDescent="0.25"/>
    <row r="14" spans="1:15" ht="30" x14ac:dyDescent="0.25">
      <c r="A14" s="19" t="s">
        <v>54</v>
      </c>
      <c r="B14" s="19" t="s">
        <v>1</v>
      </c>
      <c r="C14" s="1" t="s">
        <v>91</v>
      </c>
      <c r="D14" s="1" t="s">
        <v>90</v>
      </c>
    </row>
    <row r="15" spans="1:15" x14ac:dyDescent="0.25">
      <c r="A15" t="s">
        <v>70</v>
      </c>
      <c r="B15" t="s">
        <v>47</v>
      </c>
      <c r="C15">
        <v>2</v>
      </c>
      <c r="D15">
        <v>4</v>
      </c>
    </row>
    <row r="16" spans="1:15" x14ac:dyDescent="0.25">
      <c r="A16" t="s">
        <v>71</v>
      </c>
      <c r="B16" t="s">
        <v>47</v>
      </c>
      <c r="C16">
        <v>2</v>
      </c>
      <c r="D16">
        <v>3.8</v>
      </c>
    </row>
    <row r="17" spans="1:4" x14ac:dyDescent="0.25">
      <c r="A17" s="18" t="s">
        <v>89</v>
      </c>
      <c r="B17" t="s">
        <v>47</v>
      </c>
      <c r="C17">
        <v>1</v>
      </c>
      <c r="D17">
        <v>4.9000000000000004</v>
      </c>
    </row>
    <row r="18" spans="1:4" x14ac:dyDescent="0.25">
      <c r="A18" s="10" t="s">
        <v>74</v>
      </c>
      <c r="B18" t="s">
        <v>47</v>
      </c>
      <c r="C18">
        <v>1</v>
      </c>
      <c r="D18">
        <v>4.7</v>
      </c>
    </row>
    <row r="19" spans="1:4" x14ac:dyDescent="0.25">
      <c r="A19" s="18" t="s">
        <v>88</v>
      </c>
      <c r="B19" t="s">
        <v>47</v>
      </c>
      <c r="C19">
        <v>1</v>
      </c>
      <c r="D19">
        <v>3</v>
      </c>
    </row>
    <row r="20" spans="1:4" x14ac:dyDescent="0.25">
      <c r="A20" s="10" t="s">
        <v>72</v>
      </c>
      <c r="B20" t="s">
        <v>47</v>
      </c>
      <c r="C20">
        <v>0.5</v>
      </c>
      <c r="D20">
        <v>4.3</v>
      </c>
    </row>
    <row r="21" spans="1:4" x14ac:dyDescent="0.25">
      <c r="A21" t="s">
        <v>79</v>
      </c>
      <c r="B21" t="s">
        <v>47</v>
      </c>
      <c r="C21">
        <v>1</v>
      </c>
      <c r="D21">
        <v>2.9</v>
      </c>
    </row>
    <row r="22" spans="1:4" x14ac:dyDescent="0.25">
      <c r="A22" t="s">
        <v>80</v>
      </c>
      <c r="B22" t="s">
        <v>47</v>
      </c>
      <c r="C22">
        <v>3</v>
      </c>
      <c r="D22">
        <v>1.9</v>
      </c>
    </row>
    <row r="23" spans="1:4" x14ac:dyDescent="0.25">
      <c r="A23" s="10" t="s">
        <v>73</v>
      </c>
      <c r="B23" t="s">
        <v>47</v>
      </c>
      <c r="C23">
        <v>1.5</v>
      </c>
      <c r="D23">
        <v>1.7</v>
      </c>
    </row>
    <row r="24" spans="1:4" x14ac:dyDescent="0.25">
      <c r="A24" t="s">
        <v>67</v>
      </c>
      <c r="B24" t="s">
        <v>46</v>
      </c>
      <c r="C24">
        <v>3</v>
      </c>
      <c r="D24">
        <v>5</v>
      </c>
    </row>
    <row r="25" spans="1:4" x14ac:dyDescent="0.25">
      <c r="A25" s="10" t="s">
        <v>75</v>
      </c>
      <c r="B25" t="s">
        <v>46</v>
      </c>
      <c r="C25">
        <v>1.5</v>
      </c>
      <c r="D25">
        <v>4.3</v>
      </c>
    </row>
    <row r="26" spans="1:4" x14ac:dyDescent="0.25">
      <c r="A26" s="10" t="s">
        <v>76</v>
      </c>
      <c r="B26" t="s">
        <v>46</v>
      </c>
      <c r="C26">
        <v>2</v>
      </c>
      <c r="D26">
        <v>4.0999999999999996</v>
      </c>
    </row>
    <row r="27" spans="1:4" x14ac:dyDescent="0.25">
      <c r="A27" t="s">
        <v>69</v>
      </c>
      <c r="B27" t="s">
        <v>46</v>
      </c>
      <c r="C27">
        <v>2.5</v>
      </c>
      <c r="D27">
        <v>3.9</v>
      </c>
    </row>
    <row r="28" spans="1:4" x14ac:dyDescent="0.25">
      <c r="A28" s="10" t="s">
        <v>77</v>
      </c>
      <c r="B28" t="s">
        <v>46</v>
      </c>
      <c r="C28">
        <v>3</v>
      </c>
      <c r="D28">
        <v>3.75</v>
      </c>
    </row>
    <row r="29" spans="1:4" x14ac:dyDescent="0.25">
      <c r="A29" s="18" t="s">
        <v>83</v>
      </c>
      <c r="B29" t="s">
        <v>46</v>
      </c>
      <c r="C29">
        <v>1</v>
      </c>
      <c r="D29">
        <v>3.3</v>
      </c>
    </row>
    <row r="30" spans="1:4" x14ac:dyDescent="0.25">
      <c r="A30" s="18" t="s">
        <v>82</v>
      </c>
      <c r="B30" t="s">
        <v>46</v>
      </c>
      <c r="C30">
        <v>2</v>
      </c>
      <c r="D30">
        <v>3.1</v>
      </c>
    </row>
    <row r="31" spans="1:4" x14ac:dyDescent="0.25">
      <c r="A31" s="10" t="s">
        <v>78</v>
      </c>
      <c r="B31" t="s">
        <v>46</v>
      </c>
      <c r="C31">
        <v>2.5</v>
      </c>
      <c r="D31">
        <v>2.9</v>
      </c>
    </row>
    <row r="32" spans="1:4" x14ac:dyDescent="0.25">
      <c r="A32" s="18" t="s">
        <v>81</v>
      </c>
      <c r="B32" t="s">
        <v>46</v>
      </c>
      <c r="C32">
        <v>2</v>
      </c>
      <c r="D32">
        <v>2.7</v>
      </c>
    </row>
    <row r="33" spans="1:4" x14ac:dyDescent="0.25">
      <c r="A33" s="18" t="s">
        <v>86</v>
      </c>
      <c r="B33" t="s">
        <v>46</v>
      </c>
      <c r="C33">
        <v>2.5</v>
      </c>
      <c r="D33">
        <v>2.65</v>
      </c>
    </row>
    <row r="34" spans="1:4" x14ac:dyDescent="0.25">
      <c r="A34" t="s">
        <v>68</v>
      </c>
      <c r="B34" t="s">
        <v>46</v>
      </c>
      <c r="C34">
        <v>2.5</v>
      </c>
      <c r="D34">
        <v>2.5</v>
      </c>
    </row>
    <row r="35" spans="1:4" x14ac:dyDescent="0.25">
      <c r="A35" s="18" t="s">
        <v>87</v>
      </c>
      <c r="B35" t="s">
        <v>46</v>
      </c>
      <c r="C35">
        <v>3</v>
      </c>
      <c r="D35">
        <v>2.4500000000000002</v>
      </c>
    </row>
    <row r="36" spans="1:4" x14ac:dyDescent="0.25">
      <c r="A36" s="18" t="s">
        <v>85</v>
      </c>
      <c r="B36" t="s">
        <v>46</v>
      </c>
      <c r="C36">
        <v>0.5</v>
      </c>
      <c r="D36">
        <v>1.9</v>
      </c>
    </row>
    <row r="37" spans="1:4" x14ac:dyDescent="0.25">
      <c r="A37" t="s">
        <v>66</v>
      </c>
      <c r="B37" t="s">
        <v>46</v>
      </c>
      <c r="C37">
        <v>3</v>
      </c>
      <c r="D37">
        <v>1.5</v>
      </c>
    </row>
    <row r="38" spans="1:4" x14ac:dyDescent="0.25">
      <c r="A38" s="18" t="s">
        <v>84</v>
      </c>
      <c r="B38" t="s">
        <v>46</v>
      </c>
      <c r="C38">
        <v>1</v>
      </c>
      <c r="D38">
        <v>1</v>
      </c>
    </row>
    <row r="109" spans="1:24" x14ac:dyDescent="0.25">
      <c r="A109" s="300" t="s">
        <v>95</v>
      </c>
      <c r="B109" s="300"/>
      <c r="C109" s="300"/>
      <c r="D109" s="300"/>
      <c r="H109" s="301" t="s">
        <v>98</v>
      </c>
      <c r="I109" s="301"/>
      <c r="J109" s="301"/>
      <c r="K109" s="301"/>
    </row>
    <row r="110" spans="1:24" ht="27.75" x14ac:dyDescent="0.35">
      <c r="A110" s="20" t="s">
        <v>54</v>
      </c>
      <c r="B110" s="20" t="s">
        <v>94</v>
      </c>
      <c r="C110" s="20" t="s">
        <v>91</v>
      </c>
      <c r="D110" s="20" t="s">
        <v>90</v>
      </c>
      <c r="E110" s="20" t="s">
        <v>1</v>
      </c>
      <c r="H110" s="20" t="s">
        <v>54</v>
      </c>
      <c r="I110" s="20" t="s">
        <v>91</v>
      </c>
      <c r="J110" s="20" t="s">
        <v>90</v>
      </c>
      <c r="K110" s="20" t="s">
        <v>94</v>
      </c>
      <c r="L110" s="20" t="s">
        <v>1</v>
      </c>
      <c r="U110" s="10"/>
      <c r="W110" s="27" t="s">
        <v>113</v>
      </c>
      <c r="X110" s="21"/>
    </row>
    <row r="111" spans="1:24" ht="30" x14ac:dyDescent="0.25">
      <c r="A111" s="33" t="s">
        <v>290</v>
      </c>
      <c r="B111" s="1" t="s">
        <v>92</v>
      </c>
      <c r="C111">
        <v>2</v>
      </c>
      <c r="D111">
        <v>3.9</v>
      </c>
      <c r="E111" t="s">
        <v>47</v>
      </c>
      <c r="H111" s="41" t="s">
        <v>289</v>
      </c>
      <c r="I111">
        <v>2</v>
      </c>
      <c r="J111">
        <v>4.5</v>
      </c>
      <c r="K111" s="302"/>
      <c r="L111" t="s">
        <v>46</v>
      </c>
    </row>
    <row r="112" spans="1:24" ht="30" x14ac:dyDescent="0.25">
      <c r="B112" s="1"/>
      <c r="H112" s="41" t="s">
        <v>288</v>
      </c>
      <c r="I112">
        <v>2</v>
      </c>
      <c r="J112">
        <v>4</v>
      </c>
      <c r="K112" s="302"/>
      <c r="L112" t="s">
        <v>46</v>
      </c>
    </row>
    <row r="113" spans="1:12" x14ac:dyDescent="0.25">
      <c r="A113" s="18"/>
      <c r="B113" s="14"/>
      <c r="H113" s="39" t="s">
        <v>143</v>
      </c>
      <c r="I113">
        <v>3</v>
      </c>
      <c r="J113">
        <v>4.5</v>
      </c>
      <c r="K113" s="302"/>
      <c r="L113" t="s">
        <v>46</v>
      </c>
    </row>
    <row r="114" spans="1:12" x14ac:dyDescent="0.25">
      <c r="A114" s="10"/>
      <c r="B114" s="14"/>
      <c r="H114" s="42" t="s">
        <v>295</v>
      </c>
      <c r="I114">
        <v>1</v>
      </c>
      <c r="J114">
        <v>4.2</v>
      </c>
      <c r="K114" s="302"/>
      <c r="L114" t="s">
        <v>46</v>
      </c>
    </row>
    <row r="115" spans="1:12" ht="30" x14ac:dyDescent="0.25">
      <c r="A115" s="10"/>
      <c r="B115" s="3"/>
      <c r="H115" s="43" t="s">
        <v>300</v>
      </c>
      <c r="I115">
        <v>2</v>
      </c>
      <c r="J115">
        <v>4</v>
      </c>
      <c r="K115" s="302"/>
      <c r="L115" t="s">
        <v>46</v>
      </c>
    </row>
    <row r="116" spans="1:12" ht="30" x14ac:dyDescent="0.25">
      <c r="H116" s="44" t="s">
        <v>298</v>
      </c>
      <c r="I116">
        <v>2</v>
      </c>
      <c r="J116">
        <v>3.5</v>
      </c>
      <c r="K116" s="302"/>
      <c r="L116" t="s">
        <v>46</v>
      </c>
    </row>
    <row r="117" spans="1:12" x14ac:dyDescent="0.25">
      <c r="H117" s="40" t="s">
        <v>159</v>
      </c>
      <c r="I117">
        <v>1</v>
      </c>
      <c r="J117">
        <v>4.7</v>
      </c>
      <c r="K117" s="302"/>
      <c r="L117" t="s">
        <v>46</v>
      </c>
    </row>
    <row r="118" spans="1:12" x14ac:dyDescent="0.25">
      <c r="H118" s="18"/>
      <c r="K118" s="36"/>
    </row>
    <row r="119" spans="1:12" x14ac:dyDescent="0.25">
      <c r="H119" s="18"/>
      <c r="K119" s="36"/>
    </row>
    <row r="121" spans="1:12" x14ac:dyDescent="0.25">
      <c r="A121" s="301" t="s">
        <v>97</v>
      </c>
      <c r="B121" s="301"/>
      <c r="C121" s="301"/>
      <c r="D121" s="301"/>
      <c r="H121" s="304" t="s">
        <v>96</v>
      </c>
      <c r="I121" s="304"/>
      <c r="J121" s="304"/>
      <c r="K121" s="304"/>
    </row>
    <row r="122" spans="1:12" ht="26.25" x14ac:dyDescent="0.25">
      <c r="A122" s="20" t="s">
        <v>54</v>
      </c>
      <c r="B122" s="20" t="s">
        <v>91</v>
      </c>
      <c r="C122" s="20" t="s">
        <v>90</v>
      </c>
      <c r="D122" s="20" t="s">
        <v>94</v>
      </c>
      <c r="E122" s="20" t="s">
        <v>1</v>
      </c>
      <c r="H122" s="20" t="s">
        <v>54</v>
      </c>
      <c r="I122" s="20" t="s">
        <v>91</v>
      </c>
      <c r="J122" s="20" t="s">
        <v>90</v>
      </c>
      <c r="K122" s="20" t="s">
        <v>94</v>
      </c>
      <c r="L122" s="20" t="s">
        <v>1</v>
      </c>
    </row>
    <row r="123" spans="1:12" x14ac:dyDescent="0.25">
      <c r="D123" s="1"/>
      <c r="H123" s="33" t="s">
        <v>7</v>
      </c>
      <c r="I123" s="32">
        <v>3</v>
      </c>
      <c r="J123" s="32">
        <v>1</v>
      </c>
      <c r="K123" s="303"/>
    </row>
    <row r="124" spans="1:12" x14ac:dyDescent="0.25">
      <c r="A124" s="10"/>
      <c r="D124" s="1"/>
      <c r="H124" s="32" t="s">
        <v>293</v>
      </c>
      <c r="I124" s="32">
        <v>2</v>
      </c>
      <c r="J124" s="32">
        <v>2.8</v>
      </c>
      <c r="K124" s="303"/>
    </row>
    <row r="125" spans="1:12" x14ac:dyDescent="0.25">
      <c r="D125" s="1"/>
      <c r="H125" s="33" t="s">
        <v>291</v>
      </c>
      <c r="I125" s="32">
        <v>2</v>
      </c>
      <c r="J125" s="32">
        <v>0.5</v>
      </c>
      <c r="K125" s="303"/>
    </row>
    <row r="126" spans="1:12" x14ac:dyDescent="0.25">
      <c r="A126" s="18"/>
      <c r="D126" s="14"/>
      <c r="H126" s="32" t="s">
        <v>6</v>
      </c>
      <c r="I126" s="32">
        <v>2</v>
      </c>
      <c r="J126" s="32">
        <v>2.5</v>
      </c>
      <c r="K126" s="303"/>
    </row>
    <row r="127" spans="1:12" x14ac:dyDescent="0.25">
      <c r="H127" s="32" t="s">
        <v>287</v>
      </c>
      <c r="I127" s="32">
        <v>1</v>
      </c>
      <c r="J127" s="32">
        <v>2</v>
      </c>
      <c r="K127" s="303"/>
    </row>
    <row r="128" spans="1:12" ht="30" x14ac:dyDescent="0.25">
      <c r="H128" s="45" t="s">
        <v>296</v>
      </c>
      <c r="I128" s="32">
        <v>3</v>
      </c>
      <c r="J128" s="32">
        <v>2.65</v>
      </c>
      <c r="K128" s="303"/>
    </row>
    <row r="129" spans="1:11" ht="30" x14ac:dyDescent="0.25">
      <c r="H129" s="45" t="s">
        <v>297</v>
      </c>
      <c r="I129" s="32">
        <v>2</v>
      </c>
      <c r="J129" s="32">
        <v>2</v>
      </c>
      <c r="K129" s="14"/>
    </row>
    <row r="130" spans="1:11" x14ac:dyDescent="0.25">
      <c r="H130" s="45" t="s">
        <v>126</v>
      </c>
      <c r="I130" s="32">
        <v>2</v>
      </c>
      <c r="J130" s="32">
        <v>1.9</v>
      </c>
      <c r="K130" s="14"/>
    </row>
    <row r="131" spans="1:11" ht="30" x14ac:dyDescent="0.25">
      <c r="G131" s="35"/>
      <c r="H131" s="33" t="s">
        <v>292</v>
      </c>
      <c r="I131" s="33">
        <v>3</v>
      </c>
      <c r="J131" s="34">
        <v>1.6</v>
      </c>
    </row>
    <row r="132" spans="1:11" x14ac:dyDescent="0.25">
      <c r="A132" s="20"/>
      <c r="B132" s="20"/>
      <c r="C132" s="20"/>
      <c r="D132" s="20"/>
      <c r="E132" s="20"/>
      <c r="F132" s="20"/>
      <c r="G132" s="20"/>
      <c r="H132" s="20"/>
      <c r="I132" s="20"/>
    </row>
    <row r="133" spans="1:11" x14ac:dyDescent="0.25">
      <c r="D133" s="18"/>
      <c r="G133" s="10"/>
      <c r="J133" s="3"/>
    </row>
    <row r="134" spans="1:11" x14ac:dyDescent="0.25">
      <c r="D134" s="10"/>
    </row>
    <row r="135" spans="1:11" x14ac:dyDescent="0.25">
      <c r="D135" s="18"/>
    </row>
    <row r="172" spans="24:27" x14ac:dyDescent="0.25">
      <c r="X172" s="10"/>
      <c r="AA172" s="22"/>
    </row>
    <row r="201" spans="4:8" x14ac:dyDescent="0.25">
      <c r="D201" s="300"/>
      <c r="E201" s="300"/>
      <c r="F201" s="300"/>
      <c r="G201" s="300"/>
    </row>
    <row r="202" spans="4:8" x14ac:dyDescent="0.25">
      <c r="E202" s="20"/>
      <c r="F202" s="20"/>
      <c r="G202" s="20"/>
      <c r="H202" s="20"/>
    </row>
    <row r="203" spans="4:8" x14ac:dyDescent="0.25">
      <c r="E203" s="302"/>
    </row>
    <row r="204" spans="4:8" x14ac:dyDescent="0.25">
      <c r="E204" s="302"/>
    </row>
    <row r="205" spans="4:8" x14ac:dyDescent="0.25">
      <c r="E205" s="299"/>
      <c r="G205" s="18"/>
    </row>
    <row r="206" spans="4:8" x14ac:dyDescent="0.25">
      <c r="E206" s="299"/>
      <c r="G206" s="10"/>
    </row>
    <row r="207" spans="4:8" x14ac:dyDescent="0.25">
      <c r="E207" s="21"/>
      <c r="G207" s="10"/>
    </row>
    <row r="216" spans="7:25" x14ac:dyDescent="0.25">
      <c r="V216" s="10"/>
      <c r="Y216" s="22"/>
    </row>
    <row r="217" spans="7:25" x14ac:dyDescent="0.25">
      <c r="G217" s="20"/>
      <c r="H217" s="20"/>
      <c r="I217" s="20"/>
    </row>
    <row r="218" spans="7:25" x14ac:dyDescent="0.25">
      <c r="G218" s="10"/>
      <c r="J218" s="21"/>
    </row>
    <row r="221" spans="7:25" x14ac:dyDescent="0.25">
      <c r="V221" s="10"/>
      <c r="Y221" s="22"/>
    </row>
    <row r="265" spans="1:12" x14ac:dyDescent="0.25">
      <c r="A265" s="300" t="s">
        <v>95</v>
      </c>
      <c r="B265" s="300"/>
      <c r="C265" s="300"/>
      <c r="D265" s="300"/>
      <c r="H265" s="301" t="s">
        <v>98</v>
      </c>
      <c r="I265" s="301"/>
      <c r="J265" s="301"/>
      <c r="K265" s="301"/>
    </row>
    <row r="266" spans="1:12" ht="26.25" x14ac:dyDescent="0.25">
      <c r="A266" s="20" t="s">
        <v>54</v>
      </c>
      <c r="B266" s="20" t="s">
        <v>94</v>
      </c>
      <c r="C266" s="20" t="s">
        <v>91</v>
      </c>
      <c r="D266" s="20" t="s">
        <v>90</v>
      </c>
      <c r="E266" s="20" t="s">
        <v>1</v>
      </c>
      <c r="H266" s="20" t="s">
        <v>54</v>
      </c>
      <c r="I266" s="20" t="s">
        <v>91</v>
      </c>
      <c r="J266" s="20" t="s">
        <v>90</v>
      </c>
      <c r="K266" s="20" t="s">
        <v>94</v>
      </c>
      <c r="L266" s="20" t="s">
        <v>1</v>
      </c>
    </row>
    <row r="267" spans="1:12" ht="30" x14ac:dyDescent="0.25">
      <c r="A267" s="33" t="s">
        <v>290</v>
      </c>
      <c r="B267" s="1" t="s">
        <v>92</v>
      </c>
      <c r="C267">
        <v>2</v>
      </c>
      <c r="D267">
        <v>3.9</v>
      </c>
      <c r="E267" t="s">
        <v>47</v>
      </c>
      <c r="H267" s="41" t="s">
        <v>289</v>
      </c>
      <c r="I267">
        <v>2</v>
      </c>
      <c r="J267">
        <v>4.5</v>
      </c>
      <c r="K267" s="302"/>
      <c r="L267" t="s">
        <v>46</v>
      </c>
    </row>
    <row r="268" spans="1:12" ht="30" x14ac:dyDescent="0.25">
      <c r="B268" s="1"/>
      <c r="H268" s="41" t="s">
        <v>288</v>
      </c>
      <c r="I268">
        <v>2</v>
      </c>
      <c r="J268">
        <v>4</v>
      </c>
      <c r="K268" s="302"/>
      <c r="L268" t="s">
        <v>46</v>
      </c>
    </row>
    <row r="269" spans="1:12" x14ac:dyDescent="0.25">
      <c r="A269" s="18"/>
      <c r="B269" s="23"/>
      <c r="H269" s="39" t="s">
        <v>143</v>
      </c>
      <c r="I269">
        <v>3</v>
      </c>
      <c r="J269">
        <v>4.5</v>
      </c>
      <c r="K269" s="302"/>
      <c r="L269" t="s">
        <v>46</v>
      </c>
    </row>
    <row r="270" spans="1:12" x14ac:dyDescent="0.25">
      <c r="A270" s="10"/>
      <c r="B270" s="23"/>
      <c r="H270" s="42" t="s">
        <v>295</v>
      </c>
      <c r="I270">
        <v>1</v>
      </c>
      <c r="J270">
        <v>4.2</v>
      </c>
      <c r="K270" s="302"/>
      <c r="L270" t="s">
        <v>46</v>
      </c>
    </row>
    <row r="271" spans="1:12" ht="30" x14ac:dyDescent="0.25">
      <c r="A271" s="10"/>
      <c r="B271" s="22"/>
      <c r="H271" s="43" t="s">
        <v>300</v>
      </c>
      <c r="I271">
        <v>2</v>
      </c>
      <c r="J271">
        <v>4</v>
      </c>
      <c r="K271" s="302"/>
      <c r="L271" t="s">
        <v>46</v>
      </c>
    </row>
    <row r="272" spans="1:12" ht="30" x14ac:dyDescent="0.25">
      <c r="H272" s="44" t="s">
        <v>298</v>
      </c>
      <c r="I272">
        <v>2</v>
      </c>
      <c r="J272">
        <v>3.5</v>
      </c>
      <c r="K272" s="302"/>
      <c r="L272" t="s">
        <v>46</v>
      </c>
    </row>
    <row r="273" spans="1:12" x14ac:dyDescent="0.25">
      <c r="H273" s="40" t="s">
        <v>159</v>
      </c>
      <c r="I273">
        <v>1</v>
      </c>
      <c r="J273">
        <v>4.7</v>
      </c>
      <c r="K273" s="302"/>
      <c r="L273" t="s">
        <v>46</v>
      </c>
    </row>
    <row r="278" spans="1:12" x14ac:dyDescent="0.25">
      <c r="A278" s="301" t="s">
        <v>97</v>
      </c>
      <c r="B278" s="301"/>
      <c r="C278" s="301"/>
      <c r="D278" s="301"/>
      <c r="H278" s="304" t="s">
        <v>96</v>
      </c>
      <c r="I278" s="304"/>
      <c r="J278" s="304"/>
      <c r="K278" s="304"/>
    </row>
    <row r="279" spans="1:12" ht="26.25" x14ac:dyDescent="0.25">
      <c r="A279" s="20" t="s">
        <v>54</v>
      </c>
      <c r="B279" s="20" t="s">
        <v>91</v>
      </c>
      <c r="C279" s="20" t="s">
        <v>90</v>
      </c>
      <c r="D279" s="20" t="s">
        <v>94</v>
      </c>
      <c r="E279" s="20" t="s">
        <v>1</v>
      </c>
      <c r="H279" s="20" t="s">
        <v>54</v>
      </c>
      <c r="I279" s="20" t="s">
        <v>91</v>
      </c>
      <c r="J279" s="20" t="s">
        <v>90</v>
      </c>
      <c r="K279" s="20" t="s">
        <v>94</v>
      </c>
      <c r="L279" s="20" t="s">
        <v>1</v>
      </c>
    </row>
    <row r="280" spans="1:12" x14ac:dyDescent="0.25">
      <c r="D280" s="1"/>
      <c r="H280" s="33" t="s">
        <v>7</v>
      </c>
      <c r="I280" s="32">
        <v>3</v>
      </c>
      <c r="J280" s="32">
        <v>1</v>
      </c>
      <c r="K280" s="303"/>
    </row>
    <row r="281" spans="1:12" x14ac:dyDescent="0.25">
      <c r="A281" s="10"/>
      <c r="D281" s="1"/>
      <c r="H281" s="32" t="s">
        <v>293</v>
      </c>
      <c r="I281" s="32">
        <v>2</v>
      </c>
      <c r="J281" s="32">
        <v>2.8</v>
      </c>
      <c r="K281" s="303"/>
    </row>
    <row r="282" spans="1:12" x14ac:dyDescent="0.25">
      <c r="D282" s="1"/>
      <c r="H282" s="33" t="s">
        <v>291</v>
      </c>
      <c r="I282" s="32">
        <v>2</v>
      </c>
      <c r="J282" s="32">
        <v>0.5</v>
      </c>
      <c r="K282" s="35"/>
    </row>
    <row r="283" spans="1:12" x14ac:dyDescent="0.25">
      <c r="A283" s="18"/>
      <c r="D283" s="23"/>
      <c r="H283" s="32" t="s">
        <v>6</v>
      </c>
      <c r="I283" s="32">
        <v>2</v>
      </c>
      <c r="J283" s="32">
        <v>2.5</v>
      </c>
      <c r="K283" s="35"/>
    </row>
    <row r="284" spans="1:12" x14ac:dyDescent="0.25">
      <c r="H284" s="32" t="s">
        <v>287</v>
      </c>
      <c r="I284" s="32">
        <v>1</v>
      </c>
      <c r="J284" s="32">
        <v>2</v>
      </c>
      <c r="K284" s="35"/>
    </row>
    <row r="285" spans="1:12" ht="30" x14ac:dyDescent="0.25">
      <c r="H285" s="45" t="s">
        <v>296</v>
      </c>
      <c r="I285" s="32">
        <v>3</v>
      </c>
      <c r="J285" s="32">
        <v>2.65</v>
      </c>
      <c r="K285" s="35" t="s">
        <v>9</v>
      </c>
      <c r="L285" t="s">
        <v>46</v>
      </c>
    </row>
    <row r="286" spans="1:12" ht="30" x14ac:dyDescent="0.25">
      <c r="H286" s="45" t="s">
        <v>297</v>
      </c>
      <c r="I286" s="32">
        <v>2</v>
      </c>
      <c r="J286" s="32">
        <v>2</v>
      </c>
      <c r="K286" s="23" t="s">
        <v>10</v>
      </c>
      <c r="L286" t="s">
        <v>46</v>
      </c>
    </row>
    <row r="287" spans="1:12" x14ac:dyDescent="0.25">
      <c r="H287" s="45" t="s">
        <v>126</v>
      </c>
      <c r="I287" s="32">
        <v>2</v>
      </c>
      <c r="J287" s="32">
        <v>1.9</v>
      </c>
      <c r="K287" s="23" t="s">
        <v>93</v>
      </c>
      <c r="L287" t="s">
        <v>46</v>
      </c>
    </row>
    <row r="288" spans="1:12" ht="15" customHeight="1" x14ac:dyDescent="0.25">
      <c r="H288" s="33" t="s">
        <v>292</v>
      </c>
      <c r="I288" s="33">
        <v>3</v>
      </c>
      <c r="J288" s="34">
        <v>1.6</v>
      </c>
    </row>
    <row r="289" spans="1:11" hidden="1" x14ac:dyDescent="0.25">
      <c r="K289" t="s">
        <v>115</v>
      </c>
    </row>
    <row r="290" spans="1:11" ht="30" hidden="1" x14ac:dyDescent="0.25">
      <c r="A290" s="1" t="s">
        <v>5</v>
      </c>
      <c r="B290">
        <v>5</v>
      </c>
      <c r="C290" s="305" t="s">
        <v>110</v>
      </c>
      <c r="D290" t="s">
        <v>79</v>
      </c>
      <c r="E290">
        <v>2</v>
      </c>
      <c r="F290" s="1" t="s">
        <v>11</v>
      </c>
      <c r="G290">
        <v>1</v>
      </c>
      <c r="H290">
        <f>G290/SUM($G$290:$G$297)</f>
        <v>5.5555555555555552E-2</v>
      </c>
      <c r="I290">
        <f>E290*H290</f>
        <v>0.1111111111111111</v>
      </c>
      <c r="J290" s="28">
        <f>SUM(I290:I297)</f>
        <v>2.8833333333333329</v>
      </c>
      <c r="K290">
        <v>3.4</v>
      </c>
    </row>
    <row r="291" spans="1:11" hidden="1" x14ac:dyDescent="0.25">
      <c r="A291" s="1"/>
      <c r="B291">
        <v>5</v>
      </c>
      <c r="C291" s="305"/>
      <c r="D291" t="s">
        <v>70</v>
      </c>
      <c r="E291">
        <v>4</v>
      </c>
      <c r="F291" t="s">
        <v>10</v>
      </c>
      <c r="G291">
        <v>2</v>
      </c>
      <c r="H291">
        <f t="shared" ref="H291:H297" si="4">G291/SUM($G$290:$G$297)</f>
        <v>0.1111111111111111</v>
      </c>
      <c r="I291">
        <f t="shared" ref="I291:I297" si="5">E291*H291</f>
        <v>0.44444444444444442</v>
      </c>
    </row>
    <row r="292" spans="1:11" ht="30" hidden="1" customHeight="1" x14ac:dyDescent="0.25">
      <c r="A292" s="1"/>
      <c r="B292">
        <v>5</v>
      </c>
      <c r="C292" s="305"/>
      <c r="D292" t="s">
        <v>71</v>
      </c>
      <c r="E292">
        <v>4.8</v>
      </c>
      <c r="F292" t="s">
        <v>10</v>
      </c>
      <c r="G292">
        <v>2</v>
      </c>
      <c r="H292">
        <f t="shared" si="4"/>
        <v>0.1111111111111111</v>
      </c>
      <c r="I292">
        <f t="shared" si="5"/>
        <v>0.53333333333333333</v>
      </c>
    </row>
    <row r="293" spans="1:11" hidden="1" x14ac:dyDescent="0.25">
      <c r="A293" s="1"/>
      <c r="B293">
        <v>5</v>
      </c>
      <c r="C293" s="305"/>
      <c r="D293" t="s">
        <v>68</v>
      </c>
      <c r="E293">
        <v>2.5</v>
      </c>
      <c r="F293" t="s">
        <v>10</v>
      </c>
      <c r="G293">
        <v>2</v>
      </c>
      <c r="H293">
        <f t="shared" si="4"/>
        <v>0.1111111111111111</v>
      </c>
      <c r="I293">
        <f t="shared" si="5"/>
        <v>0.27777777777777779</v>
      </c>
    </row>
    <row r="294" spans="1:11" hidden="1" x14ac:dyDescent="0.25">
      <c r="A294" s="1"/>
      <c r="B294">
        <v>5</v>
      </c>
      <c r="C294" s="305"/>
      <c r="D294" t="s">
        <v>69</v>
      </c>
      <c r="E294">
        <v>3.9</v>
      </c>
      <c r="F294" t="s">
        <v>10</v>
      </c>
      <c r="G294">
        <v>2</v>
      </c>
      <c r="H294">
        <f t="shared" si="4"/>
        <v>0.1111111111111111</v>
      </c>
      <c r="I294">
        <f t="shared" si="5"/>
        <v>0.43333333333333329</v>
      </c>
    </row>
    <row r="295" spans="1:11" ht="30" hidden="1" x14ac:dyDescent="0.25">
      <c r="A295" s="1"/>
      <c r="B295">
        <v>5</v>
      </c>
      <c r="C295" s="305"/>
      <c r="D295" t="s">
        <v>80</v>
      </c>
      <c r="E295">
        <v>0.5</v>
      </c>
      <c r="F295" s="1" t="s">
        <v>9</v>
      </c>
      <c r="G295">
        <v>3</v>
      </c>
      <c r="H295">
        <f t="shared" si="4"/>
        <v>0.16666666666666666</v>
      </c>
      <c r="I295">
        <f t="shared" si="5"/>
        <v>8.3333333333333329E-2</v>
      </c>
    </row>
    <row r="296" spans="1:11" ht="30" hidden="1" x14ac:dyDescent="0.25">
      <c r="A296" s="1"/>
      <c r="B296">
        <v>5</v>
      </c>
      <c r="C296" s="305"/>
      <c r="D296" t="s">
        <v>66</v>
      </c>
      <c r="E296">
        <v>1</v>
      </c>
      <c r="F296" s="1" t="s">
        <v>9</v>
      </c>
      <c r="G296">
        <v>3</v>
      </c>
      <c r="H296">
        <f t="shared" si="4"/>
        <v>0.16666666666666666</v>
      </c>
      <c r="I296">
        <f t="shared" si="5"/>
        <v>0.16666666666666666</v>
      </c>
    </row>
    <row r="297" spans="1:11" ht="15" hidden="1" customHeight="1" x14ac:dyDescent="0.25">
      <c r="A297" s="1"/>
      <c r="B297">
        <v>5</v>
      </c>
      <c r="C297" s="305"/>
      <c r="D297" t="s">
        <v>67</v>
      </c>
      <c r="E297">
        <v>5</v>
      </c>
      <c r="F297" s="1" t="s">
        <v>9</v>
      </c>
      <c r="G297">
        <v>3</v>
      </c>
      <c r="H297">
        <f t="shared" si="4"/>
        <v>0.16666666666666666</v>
      </c>
      <c r="I297">
        <f t="shared" si="5"/>
        <v>0.83333333333333326</v>
      </c>
    </row>
    <row r="298" spans="1:11" hidden="1" x14ac:dyDescent="0.25">
      <c r="A298" s="1"/>
    </row>
    <row r="299" spans="1:11" hidden="1" x14ac:dyDescent="0.25">
      <c r="A299" s="1"/>
    </row>
    <row r="300" spans="1:11" ht="30" hidden="1" x14ac:dyDescent="0.25">
      <c r="A300" s="1" t="s">
        <v>114</v>
      </c>
      <c r="C300" s="305" t="s">
        <v>108</v>
      </c>
      <c r="D300" s="18" t="s">
        <v>107</v>
      </c>
      <c r="E300">
        <v>1</v>
      </c>
      <c r="F300">
        <v>4.5</v>
      </c>
      <c r="H300" s="1">
        <f>E300/SUM($E$300:$E$308)</f>
        <v>7.6923076923076927E-2</v>
      </c>
      <c r="I300">
        <f>F300*H300</f>
        <v>0.34615384615384615</v>
      </c>
      <c r="J300" s="28">
        <f>SUM(I300:I308)</f>
        <v>2.7653846153846153</v>
      </c>
      <c r="K300">
        <v>3.5</v>
      </c>
    </row>
    <row r="301" spans="1:11" hidden="1" x14ac:dyDescent="0.25">
      <c r="A301" s="1"/>
      <c r="C301" s="305"/>
      <c r="D301" s="18" t="s">
        <v>99</v>
      </c>
      <c r="E301">
        <v>1</v>
      </c>
      <c r="F301">
        <v>2.4</v>
      </c>
      <c r="G301" s="23"/>
      <c r="H301" s="1">
        <f t="shared" ref="H301:H308" si="6">E301/SUM($E$300:$E$308)</f>
        <v>7.6923076923076927E-2</v>
      </c>
      <c r="I301">
        <f t="shared" ref="I301:I308" si="7">F301*H301</f>
        <v>0.18461538461538463</v>
      </c>
    </row>
    <row r="302" spans="1:11" hidden="1" x14ac:dyDescent="0.25">
      <c r="A302" s="1"/>
      <c r="C302" s="305"/>
      <c r="D302" s="18" t="s">
        <v>106</v>
      </c>
      <c r="E302">
        <v>2</v>
      </c>
      <c r="F302">
        <v>3.1</v>
      </c>
      <c r="H302" s="1">
        <f t="shared" si="6"/>
        <v>0.15384615384615385</v>
      </c>
      <c r="I302">
        <f t="shared" si="7"/>
        <v>0.47692307692307695</v>
      </c>
    </row>
    <row r="303" spans="1:11" hidden="1" x14ac:dyDescent="0.25">
      <c r="A303" s="1"/>
      <c r="C303" s="305"/>
      <c r="D303" s="18" t="s">
        <v>105</v>
      </c>
      <c r="E303">
        <v>1</v>
      </c>
      <c r="F303">
        <v>3.3</v>
      </c>
      <c r="H303" s="1">
        <f t="shared" si="6"/>
        <v>7.6923076923076927E-2</v>
      </c>
      <c r="I303">
        <f t="shared" si="7"/>
        <v>0.25384615384615383</v>
      </c>
    </row>
    <row r="304" spans="1:11" hidden="1" x14ac:dyDescent="0.25">
      <c r="A304" s="1"/>
      <c r="C304" s="305"/>
      <c r="D304" s="18" t="s">
        <v>103</v>
      </c>
      <c r="E304">
        <v>1</v>
      </c>
      <c r="F304">
        <v>3.3</v>
      </c>
      <c r="H304" s="1">
        <f t="shared" si="6"/>
        <v>7.6923076923076927E-2</v>
      </c>
      <c r="I304">
        <f t="shared" si="7"/>
        <v>0.25384615384615383</v>
      </c>
    </row>
    <row r="305" spans="1:11" hidden="1" x14ac:dyDescent="0.25">
      <c r="A305" s="1"/>
      <c r="C305" s="305"/>
      <c r="D305" s="18" t="s">
        <v>104</v>
      </c>
      <c r="E305">
        <v>3</v>
      </c>
      <c r="F305">
        <v>2.65</v>
      </c>
      <c r="H305" s="1">
        <f t="shared" si="6"/>
        <v>0.23076923076923078</v>
      </c>
      <c r="I305">
        <f t="shared" si="7"/>
        <v>0.61153846153846159</v>
      </c>
    </row>
    <row r="306" spans="1:11" hidden="1" x14ac:dyDescent="0.25">
      <c r="A306" s="1"/>
      <c r="C306" s="305"/>
      <c r="D306" s="18" t="s">
        <v>100</v>
      </c>
      <c r="E306">
        <v>2</v>
      </c>
      <c r="F306">
        <v>2.7</v>
      </c>
      <c r="H306" s="1">
        <f t="shared" si="6"/>
        <v>0.15384615384615385</v>
      </c>
      <c r="I306">
        <f t="shared" si="7"/>
        <v>0.41538461538461541</v>
      </c>
    </row>
    <row r="307" spans="1:11" hidden="1" x14ac:dyDescent="0.25">
      <c r="A307" s="1"/>
      <c r="C307" s="305"/>
      <c r="D307" s="18" t="s">
        <v>101</v>
      </c>
      <c r="E307">
        <v>1</v>
      </c>
      <c r="F307">
        <v>1</v>
      </c>
      <c r="H307" s="1">
        <f t="shared" si="6"/>
        <v>7.6923076923076927E-2</v>
      </c>
      <c r="I307">
        <f t="shared" si="7"/>
        <v>7.6923076923076927E-2</v>
      </c>
    </row>
    <row r="308" spans="1:11" hidden="1" x14ac:dyDescent="0.25">
      <c r="A308" s="1"/>
      <c r="C308" s="305"/>
      <c r="D308" s="18" t="s">
        <v>102</v>
      </c>
      <c r="E308">
        <v>1</v>
      </c>
      <c r="F308">
        <v>1.9</v>
      </c>
      <c r="H308" s="1">
        <f t="shared" si="6"/>
        <v>7.6923076923076927E-2</v>
      </c>
      <c r="I308">
        <f t="shared" si="7"/>
        <v>0.14615384615384616</v>
      </c>
    </row>
    <row r="309" spans="1:11" hidden="1" x14ac:dyDescent="0.25">
      <c r="A309" s="1"/>
    </row>
    <row r="310" spans="1:11" hidden="1" x14ac:dyDescent="0.25">
      <c r="A310" s="1"/>
      <c r="J310" s="28">
        <v>3.3</v>
      </c>
      <c r="K310">
        <v>3.1</v>
      </c>
    </row>
    <row r="311" spans="1:11" hidden="1" x14ac:dyDescent="0.25">
      <c r="A311" s="1"/>
      <c r="C311" s="305" t="s">
        <v>109</v>
      </c>
      <c r="D311" s="10" t="s">
        <v>74</v>
      </c>
      <c r="E311">
        <v>1</v>
      </c>
      <c r="F311">
        <v>4.7</v>
      </c>
      <c r="H311">
        <f>E311/SUM($E$311:$E$317)</f>
        <v>7.6923076923076927E-2</v>
      </c>
      <c r="I311">
        <f>H311*F311</f>
        <v>0.36153846153846159</v>
      </c>
    </row>
    <row r="312" spans="1:11" ht="30" hidden="1" x14ac:dyDescent="0.25">
      <c r="A312" s="1" t="s">
        <v>4</v>
      </c>
      <c r="C312" s="305"/>
      <c r="D312" s="10" t="s">
        <v>72</v>
      </c>
      <c r="E312">
        <v>3</v>
      </c>
      <c r="F312">
        <v>3.5</v>
      </c>
      <c r="H312">
        <f t="shared" ref="H312:H317" si="8">E312/SUM($E$311:$E$317)</f>
        <v>0.23076923076923078</v>
      </c>
      <c r="I312">
        <f t="shared" ref="I312:I317" si="9">H312*F312</f>
        <v>0.80769230769230771</v>
      </c>
    </row>
    <row r="313" spans="1:11" hidden="1" x14ac:dyDescent="0.25">
      <c r="A313" s="1"/>
      <c r="C313" s="305"/>
      <c r="D313" s="10" t="s">
        <v>73</v>
      </c>
      <c r="E313">
        <v>2</v>
      </c>
      <c r="F313">
        <v>1.7</v>
      </c>
      <c r="H313">
        <f t="shared" si="8"/>
        <v>0.15384615384615385</v>
      </c>
      <c r="I313">
        <f t="shared" si="9"/>
        <v>0.26153846153846155</v>
      </c>
    </row>
    <row r="314" spans="1:11" hidden="1" x14ac:dyDescent="0.25">
      <c r="A314" s="1"/>
      <c r="C314" s="305"/>
      <c r="D314" s="10" t="s">
        <v>77</v>
      </c>
      <c r="E314">
        <v>3</v>
      </c>
      <c r="F314">
        <v>3.5</v>
      </c>
      <c r="H314">
        <f t="shared" si="8"/>
        <v>0.23076923076923078</v>
      </c>
      <c r="I314">
        <f t="shared" si="9"/>
        <v>0.80769230769230771</v>
      </c>
    </row>
    <row r="315" spans="1:11" hidden="1" x14ac:dyDescent="0.25">
      <c r="C315" s="305"/>
      <c r="D315" s="10" t="s">
        <v>76</v>
      </c>
      <c r="E315">
        <v>1</v>
      </c>
      <c r="F315">
        <v>4.0999999999999996</v>
      </c>
      <c r="H315">
        <f t="shared" si="8"/>
        <v>7.6923076923076927E-2</v>
      </c>
      <c r="I315">
        <f t="shared" si="9"/>
        <v>0.31538461538461537</v>
      </c>
    </row>
    <row r="316" spans="1:11" hidden="1" x14ac:dyDescent="0.25">
      <c r="C316" s="305"/>
      <c r="D316" s="10" t="s">
        <v>75</v>
      </c>
      <c r="E316">
        <v>1</v>
      </c>
      <c r="F316">
        <v>4.3</v>
      </c>
      <c r="H316">
        <f t="shared" si="8"/>
        <v>7.6923076923076927E-2</v>
      </c>
      <c r="I316">
        <f t="shared" si="9"/>
        <v>0.33076923076923076</v>
      </c>
    </row>
    <row r="317" spans="1:11" hidden="1" x14ac:dyDescent="0.25">
      <c r="C317" s="305"/>
      <c r="D317" s="10" t="s">
        <v>78</v>
      </c>
      <c r="E317">
        <v>2</v>
      </c>
      <c r="F317">
        <v>2.9</v>
      </c>
      <c r="H317">
        <f t="shared" si="8"/>
        <v>0.15384615384615385</v>
      </c>
      <c r="I317">
        <f t="shared" si="9"/>
        <v>0.44615384615384618</v>
      </c>
    </row>
    <row r="318" spans="1:11" hidden="1" x14ac:dyDescent="0.25"/>
    <row r="319" spans="1:11" hidden="1" x14ac:dyDescent="0.25"/>
    <row r="320" spans="1:11" hidden="1" x14ac:dyDescent="0.25"/>
    <row r="321" spans="3:11" hidden="1" x14ac:dyDescent="0.25">
      <c r="C321" s="26" t="s">
        <v>110</v>
      </c>
      <c r="D321" t="s">
        <v>79</v>
      </c>
      <c r="E321">
        <v>2</v>
      </c>
      <c r="F321" s="1" t="s">
        <v>11</v>
      </c>
    </row>
    <row r="322" spans="3:11" hidden="1" x14ac:dyDescent="0.25">
      <c r="C322" s="26" t="s">
        <v>111</v>
      </c>
      <c r="D322" t="s">
        <v>70</v>
      </c>
      <c r="E322">
        <v>4</v>
      </c>
      <c r="F322" s="300" t="s">
        <v>10</v>
      </c>
    </row>
    <row r="323" spans="3:11" hidden="1" x14ac:dyDescent="0.25">
      <c r="C323" s="26" t="s">
        <v>112</v>
      </c>
      <c r="D323" t="s">
        <v>71</v>
      </c>
      <c r="E323">
        <v>4.8</v>
      </c>
      <c r="F323" s="300"/>
    </row>
    <row r="324" spans="3:11" hidden="1" x14ac:dyDescent="0.25">
      <c r="C324" s="26"/>
      <c r="D324" t="s">
        <v>68</v>
      </c>
      <c r="E324">
        <v>2.5</v>
      </c>
      <c r="F324" s="300"/>
    </row>
    <row r="325" spans="3:11" hidden="1" x14ac:dyDescent="0.25">
      <c r="C325" s="26"/>
      <c r="D325" t="s">
        <v>69</v>
      </c>
      <c r="E325">
        <v>3.9</v>
      </c>
      <c r="F325" s="300"/>
    </row>
    <row r="326" spans="3:11" ht="30" hidden="1" customHeight="1" x14ac:dyDescent="0.25">
      <c r="C326" s="26"/>
      <c r="D326" t="s">
        <v>80</v>
      </c>
      <c r="E326">
        <v>0.5</v>
      </c>
      <c r="F326" s="302" t="s">
        <v>9</v>
      </c>
    </row>
    <row r="327" spans="3:11" ht="30" hidden="1" customHeight="1" x14ac:dyDescent="0.25">
      <c r="C327" s="26"/>
      <c r="D327" t="s">
        <v>66</v>
      </c>
      <c r="E327">
        <v>1</v>
      </c>
      <c r="F327" s="302"/>
    </row>
    <row r="328" spans="3:11" ht="30" hidden="1" customHeight="1" x14ac:dyDescent="0.25">
      <c r="C328" s="26"/>
      <c r="D328" t="s">
        <v>67</v>
      </c>
      <c r="E328">
        <v>5</v>
      </c>
      <c r="F328" s="302"/>
    </row>
    <row r="329" spans="3:11" hidden="1" x14ac:dyDescent="0.25"/>
    <row r="330" spans="3:11" hidden="1" x14ac:dyDescent="0.25"/>
    <row r="331" spans="3:11" hidden="1" x14ac:dyDescent="0.25">
      <c r="C331" t="s">
        <v>10</v>
      </c>
      <c r="D331" t="s">
        <v>70</v>
      </c>
      <c r="E331">
        <v>4</v>
      </c>
      <c r="F331" t="s">
        <v>71</v>
      </c>
      <c r="G331">
        <v>4.8</v>
      </c>
      <c r="H331" t="s">
        <v>68</v>
      </c>
      <c r="I331">
        <v>2.5</v>
      </c>
      <c r="J331" t="s">
        <v>69</v>
      </c>
      <c r="K331">
        <v>3.9</v>
      </c>
    </row>
    <row r="332" spans="3:11" hidden="1" x14ac:dyDescent="0.25">
      <c r="C332" s="1" t="s">
        <v>11</v>
      </c>
    </row>
    <row r="333" spans="3:11" ht="30" hidden="1" x14ac:dyDescent="0.25">
      <c r="C333" s="1" t="s">
        <v>9</v>
      </c>
    </row>
    <row r="334" spans="3:11" hidden="1" x14ac:dyDescent="0.25"/>
    <row r="335" spans="3:11" hidden="1" x14ac:dyDescent="0.25">
      <c r="D335" s="26"/>
      <c r="E335" s="10"/>
    </row>
    <row r="336" spans="3:11" x14ac:dyDescent="0.25">
      <c r="D336" s="30" t="s">
        <v>299</v>
      </c>
    </row>
    <row r="337" spans="1:15" x14ac:dyDescent="0.25">
      <c r="D337" s="300" t="s">
        <v>10</v>
      </c>
      <c r="E337" s="300"/>
      <c r="F337" s="24" t="s">
        <v>9</v>
      </c>
    </row>
    <row r="338" spans="1:15" ht="60" x14ac:dyDescent="0.25">
      <c r="D338" s="38" t="s">
        <v>126</v>
      </c>
      <c r="E338" s="38" t="s">
        <v>297</v>
      </c>
      <c r="F338" s="38" t="s">
        <v>296</v>
      </c>
    </row>
    <row r="339" spans="1:15" x14ac:dyDescent="0.25">
      <c r="D339">
        <v>1.9</v>
      </c>
      <c r="E339">
        <v>2</v>
      </c>
      <c r="F339">
        <v>2.65</v>
      </c>
    </row>
    <row r="340" spans="1:15" x14ac:dyDescent="0.25">
      <c r="D340" s="26"/>
    </row>
    <row r="341" spans="1:15" x14ac:dyDescent="0.25">
      <c r="D341" s="26" t="s">
        <v>139</v>
      </c>
    </row>
    <row r="342" spans="1:15" x14ac:dyDescent="0.25">
      <c r="D342" s="29" t="s">
        <v>11</v>
      </c>
      <c r="E342" s="300" t="s">
        <v>10</v>
      </c>
      <c r="F342" s="300"/>
      <c r="G342" s="306" t="s">
        <v>9</v>
      </c>
      <c r="H342" s="306"/>
    </row>
    <row r="343" spans="1:15" ht="60" x14ac:dyDescent="0.25">
      <c r="D343" s="10" t="s">
        <v>159</v>
      </c>
      <c r="E343" s="37" t="s">
        <v>298</v>
      </c>
      <c r="F343" s="37" t="s">
        <v>300</v>
      </c>
      <c r="G343" s="40" t="s">
        <v>143</v>
      </c>
    </row>
    <row r="344" spans="1:15" x14ac:dyDescent="0.25">
      <c r="D344">
        <v>4.7</v>
      </c>
      <c r="E344">
        <v>3.5</v>
      </c>
      <c r="F344">
        <v>4</v>
      </c>
      <c r="G344">
        <v>4.5</v>
      </c>
    </row>
    <row r="348" spans="1:15" x14ac:dyDescent="0.25">
      <c r="B348" s="11" t="s">
        <v>5</v>
      </c>
    </row>
    <row r="349" spans="1:15" x14ac:dyDescent="0.25">
      <c r="B349" s="35"/>
      <c r="D349" s="31"/>
      <c r="E349" s="31"/>
      <c r="F349" s="31"/>
      <c r="G349" s="31"/>
      <c r="H349" s="31"/>
      <c r="I349" s="31"/>
    </row>
    <row r="350" spans="1:15" x14ac:dyDescent="0.25">
      <c r="A350" s="299" t="s">
        <v>11</v>
      </c>
      <c r="B350" s="299"/>
      <c r="C350" s="305" t="s">
        <v>10</v>
      </c>
      <c r="D350" s="305"/>
      <c r="E350" s="305"/>
      <c r="F350" s="305"/>
      <c r="G350" s="305"/>
      <c r="H350" s="305"/>
      <c r="I350" s="305"/>
      <c r="J350" s="305" t="s">
        <v>9</v>
      </c>
      <c r="K350" s="305"/>
      <c r="L350" s="29"/>
      <c r="M350" s="29"/>
      <c r="N350" s="29"/>
      <c r="O350" s="29"/>
    </row>
    <row r="351" spans="1:15" ht="90" x14ac:dyDescent="0.25">
      <c r="A351" s="36" t="s">
        <v>295</v>
      </c>
      <c r="B351" s="33" t="s">
        <v>287</v>
      </c>
      <c r="C351" s="33" t="s">
        <v>288</v>
      </c>
      <c r="D351" s="33" t="s">
        <v>289</v>
      </c>
      <c r="E351" s="33" t="s">
        <v>6</v>
      </c>
      <c r="F351" s="33" t="s">
        <v>290</v>
      </c>
      <c r="G351" s="33" t="s">
        <v>291</v>
      </c>
      <c r="H351" s="36" t="s">
        <v>294</v>
      </c>
      <c r="I351" s="33" t="s">
        <v>7</v>
      </c>
      <c r="J351" s="33" t="s">
        <v>292</v>
      </c>
      <c r="K351" s="33" t="s">
        <v>289</v>
      </c>
    </row>
    <row r="352" spans="1:15" x14ac:dyDescent="0.25">
      <c r="A352">
        <v>4</v>
      </c>
      <c r="B352" s="34">
        <v>2</v>
      </c>
      <c r="C352" s="34">
        <v>4</v>
      </c>
      <c r="D352" s="34">
        <v>4.8</v>
      </c>
      <c r="E352" s="34">
        <v>2.5</v>
      </c>
      <c r="F352" s="34">
        <v>3.9</v>
      </c>
      <c r="G352" s="34">
        <v>0.5</v>
      </c>
      <c r="H352" s="34">
        <v>2.8</v>
      </c>
      <c r="I352" s="34">
        <v>1</v>
      </c>
      <c r="J352" s="25">
        <v>1.6</v>
      </c>
      <c r="K352" s="25">
        <v>4.5</v>
      </c>
    </row>
    <row r="353" spans="3:12" x14ac:dyDescent="0.25">
      <c r="C353" s="26"/>
      <c r="F353" s="29"/>
    </row>
    <row r="354" spans="3:12" x14ac:dyDescent="0.25">
      <c r="C354" s="26"/>
      <c r="F354" s="29"/>
    </row>
    <row r="355" spans="3:12" x14ac:dyDescent="0.25">
      <c r="C355" s="26"/>
      <c r="F355" s="29"/>
    </row>
    <row r="356" spans="3:12" ht="15" customHeight="1" x14ac:dyDescent="0.25">
      <c r="C356" s="26"/>
      <c r="F356" s="1"/>
    </row>
    <row r="357" spans="3:12" x14ac:dyDescent="0.25">
      <c r="C357" s="26"/>
      <c r="F357" s="1"/>
    </row>
    <row r="358" spans="3:12" x14ac:dyDescent="0.25">
      <c r="C358" s="26"/>
      <c r="F358" s="1"/>
    </row>
    <row r="361" spans="3:12" x14ac:dyDescent="0.25">
      <c r="I361" s="20"/>
      <c r="J361" s="20"/>
      <c r="K361" s="20"/>
    </row>
    <row r="362" spans="3:12" x14ac:dyDescent="0.25">
      <c r="I362" s="10"/>
      <c r="L362" s="21"/>
    </row>
  </sheetData>
  <autoFilter ref="A14:E14" xr:uid="{46EAACC4-0CE9-4F13-85A9-7086E6F10718}">
    <sortState ref="A15:C38">
      <sortCondition ref="B14"/>
    </sortState>
  </autoFilter>
  <mergeCells count="29">
    <mergeCell ref="C290:C297"/>
    <mergeCell ref="F322:F325"/>
    <mergeCell ref="H278:K278"/>
    <mergeCell ref="K280:K281"/>
    <mergeCell ref="H265:K265"/>
    <mergeCell ref="K267:K268"/>
    <mergeCell ref="K269:K271"/>
    <mergeCell ref="K272:K273"/>
    <mergeCell ref="A265:D265"/>
    <mergeCell ref="A278:D278"/>
    <mergeCell ref="A350:B350"/>
    <mergeCell ref="J350:K350"/>
    <mergeCell ref="C350:I350"/>
    <mergeCell ref="C300:C308"/>
    <mergeCell ref="C311:C317"/>
    <mergeCell ref="E342:F342"/>
    <mergeCell ref="G342:H342"/>
    <mergeCell ref="F326:F328"/>
    <mergeCell ref="D337:E337"/>
    <mergeCell ref="E205:E206"/>
    <mergeCell ref="A109:D109"/>
    <mergeCell ref="H109:K109"/>
    <mergeCell ref="A121:D121"/>
    <mergeCell ref="D201:G201"/>
    <mergeCell ref="E203:E204"/>
    <mergeCell ref="K125:K128"/>
    <mergeCell ref="H121:K121"/>
    <mergeCell ref="K123:K124"/>
    <mergeCell ref="K111:K117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5A163-2FA7-49AA-8457-9E38900E044C}">
  <sheetPr codeName="Hoja3"/>
  <dimension ref="A1:C13"/>
  <sheetViews>
    <sheetView workbookViewId="0">
      <selection activeCell="A3" sqref="A3"/>
    </sheetView>
  </sheetViews>
  <sheetFormatPr baseColWidth="10" defaultRowHeight="15" x14ac:dyDescent="0.25"/>
  <cols>
    <col min="1" max="1" width="21" customWidth="1"/>
  </cols>
  <sheetData>
    <row r="1" spans="1:3" x14ac:dyDescent="0.25">
      <c r="A1" s="11" t="s">
        <v>323</v>
      </c>
    </row>
    <row r="2" spans="1:3" x14ac:dyDescent="0.25">
      <c r="A2" t="s">
        <v>416</v>
      </c>
      <c r="C2" t="str">
        <f>_xlfn.CONCAT('Motiv inst'!I1:P1," -- ",A2)</f>
        <v xml:space="preserve"> -- Preparation grid</v>
      </c>
    </row>
    <row r="3" spans="1:3" x14ac:dyDescent="0.25">
      <c r="A3" t="s">
        <v>379</v>
      </c>
      <c r="C3" t="str">
        <f>_xlfn.CONCAT('Motiv inst'!$I$1:$P$1," -- ",A3)</f>
        <v xml:space="preserve"> -- Score overview chart</v>
      </c>
    </row>
    <row r="4" spans="1:3" x14ac:dyDescent="0.25">
      <c r="A4" t="s">
        <v>397</v>
      </c>
      <c r="C4" t="str">
        <f>_xlfn.CONCAT('Motiv inst'!$I$1:$P$1," -- ",A4)</f>
        <v xml:space="preserve"> -- Alignment with adoption drivers</v>
      </c>
    </row>
    <row r="5" spans="1:3" x14ac:dyDescent="0.25">
      <c r="A5" t="s">
        <v>405</v>
      </c>
      <c r="C5" t="str">
        <f>_xlfn.CONCAT('Motiv inst'!$I$1:$P$1," -- ",A5)</f>
        <v xml:space="preserve"> -- Share of selected drivers</v>
      </c>
    </row>
    <row r="6" spans="1:3" x14ac:dyDescent="0.25">
      <c r="A6" t="s">
        <v>414</v>
      </c>
      <c r="C6" t="str">
        <f>_xlfn.CONCAT('Motiv inst'!$I$1:$P$1," -- ",A6)</f>
        <v xml:space="preserve"> -- Performance by dimension</v>
      </c>
    </row>
    <row r="9" spans="1:3" x14ac:dyDescent="0.25">
      <c r="A9" s="11" t="s">
        <v>335</v>
      </c>
      <c r="C9" s="11" t="s">
        <v>37</v>
      </c>
    </row>
    <row r="10" spans="1:3" x14ac:dyDescent="0.25">
      <c r="A10" t="s">
        <v>9</v>
      </c>
      <c r="C10" t="s">
        <v>337</v>
      </c>
    </row>
    <row r="11" spans="1:3" x14ac:dyDescent="0.25">
      <c r="A11" t="s">
        <v>10</v>
      </c>
      <c r="C11" t="s">
        <v>338</v>
      </c>
    </row>
    <row r="12" spans="1:3" x14ac:dyDescent="0.25">
      <c r="A12" t="s">
        <v>11</v>
      </c>
      <c r="C12" t="s">
        <v>109</v>
      </c>
    </row>
    <row r="13" spans="1:3" x14ac:dyDescent="0.25">
      <c r="A13" t="s">
        <v>340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C8EDB2A2-F498-44C2-8530-46AF5083169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6D64FD11-4817-424B-91BD-6A892913C548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F72EE093-22BD-48A6-8587-E7E20C8EC5EA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56</vt:i4>
      </vt:variant>
    </vt:vector>
  </HeadingPairs>
  <TitlesOfParts>
    <vt:vector size="63" baseType="lpstr">
      <vt:lpstr>Motiv inst</vt:lpstr>
      <vt:lpstr>1.Motiv instFistV</vt:lpstr>
      <vt:lpstr>AssessInstr</vt:lpstr>
      <vt:lpstr>Preparation grid</vt:lpstr>
      <vt:lpstr>PerfByDimension</vt:lpstr>
      <vt:lpstr>SummaryMatrix</vt:lpstr>
      <vt:lpstr>Data</vt:lpstr>
      <vt:lpstr>ImporOper</vt:lpstr>
      <vt:lpstr>imporTec</vt:lpstr>
      <vt:lpstr>importEcom</vt:lpstr>
      <vt:lpstr>impSComm</vt:lpstr>
      <vt:lpstr>impSComVar</vt:lpstr>
      <vt:lpstr>impSCust</vt:lpstr>
      <vt:lpstr>impSDegree</vt:lpstr>
      <vt:lpstr>impSDomK</vt:lpstr>
      <vt:lpstr>impSEcon</vt:lpstr>
      <vt:lpstr>impSInvest</vt:lpstr>
      <vt:lpstr>impSMarket</vt:lpstr>
      <vt:lpstr>impSOpen</vt:lpstr>
      <vt:lpstr>impSOrgan</vt:lpstr>
      <vt:lpstr>impSPLAw</vt:lpstr>
      <vt:lpstr>impSPotPro</vt:lpstr>
      <vt:lpstr>impSProcess</vt:lpstr>
      <vt:lpstr>impSReuseApt</vt:lpstr>
      <vt:lpstr>impSReusePot</vt:lpstr>
      <vt:lpstr>impSSofEng</vt:lpstr>
      <vt:lpstr>impStaMig</vt:lpstr>
      <vt:lpstr>PLAwareness</vt:lpstr>
      <vt:lpstr>statAnswCom</vt:lpstr>
      <vt:lpstr>statAnswCommVar</vt:lpstr>
      <vt:lpstr>statAnswContr</vt:lpstr>
      <vt:lpstr>statAnswCust</vt:lpstr>
      <vt:lpstr>statAnswDomKnow</vt:lpstr>
      <vt:lpstr>statAnswEconInd</vt:lpstr>
      <vt:lpstr>statAnswInvest</vt:lpstr>
      <vt:lpstr>statAnswMarkPot</vt:lpstr>
      <vt:lpstr>statAnswMig</vt:lpstr>
      <vt:lpstr>statAnswOpen</vt:lpstr>
      <vt:lpstr>statAnswOrgPrep</vt:lpstr>
      <vt:lpstr>statAnswPLAwa</vt:lpstr>
      <vt:lpstr>statAnswPotProd</vt:lpstr>
      <vt:lpstr>statAnswProcDisc</vt:lpstr>
      <vt:lpstr>statAnswReuseApt</vt:lpstr>
      <vt:lpstr>statAnswReusePot</vt:lpstr>
      <vt:lpstr>statAnswSECap</vt:lpstr>
      <vt:lpstr>statComm</vt:lpstr>
      <vt:lpstr>statComVar</vt:lpstr>
      <vt:lpstr>statCust</vt:lpstr>
      <vt:lpstr>statDegree</vt:lpstr>
      <vt:lpstr>statDomain</vt:lpstr>
      <vt:lpstr>statEcon</vt:lpstr>
      <vt:lpstr>statInvest</vt:lpstr>
      <vt:lpstr>statMark</vt:lpstr>
      <vt:lpstr>statMigr</vt:lpstr>
      <vt:lpstr>statOpen</vt:lpstr>
      <vt:lpstr>statOrganiz</vt:lpstr>
      <vt:lpstr>statPLAwar</vt:lpstr>
      <vt:lpstr>statPotPro</vt:lpstr>
      <vt:lpstr>statProc</vt:lpstr>
      <vt:lpstr>statReuseApt</vt:lpstr>
      <vt:lpstr>statReusePot</vt:lpstr>
      <vt:lpstr>statSoftEng</vt:lpstr>
      <vt:lpstr>TablaDin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Luisa Fernanda Rincon Perez</dc:creator>
  <cp:lastModifiedBy>Luisa Fernanda Rincon Perez</cp:lastModifiedBy>
  <cp:lastPrinted>2018-01-08T04:27:54Z</cp:lastPrinted>
  <dcterms:created xsi:type="dcterms:W3CDTF">2017-10-11T02:54:31Z</dcterms:created>
  <dcterms:modified xsi:type="dcterms:W3CDTF">2018-02-20T09:07:05Z</dcterms:modified>
</cp:coreProperties>
</file>