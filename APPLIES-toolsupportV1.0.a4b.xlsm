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charts/chart33.xml" ContentType="application/vnd.openxmlformats-officedocument.drawingml.chart+xml"/>
  <Override PartName="/xl/charts/style31.xml" ContentType="application/vnd.ms-office.chartstyle+xml"/>
  <Override PartName="/xl/charts/colors31.xml" ContentType="application/vnd.ms-office.chartcolorstyle+xml"/>
  <Override PartName="/xl/charts/chart34.xml" ContentType="application/vnd.openxmlformats-officedocument.drawingml.chart+xml"/>
  <Override PartName="/xl/charts/style32.xml" ContentType="application/vnd.ms-office.chartstyle+xml"/>
  <Override PartName="/xl/charts/colors32.xml" ContentType="application/vnd.ms-office.chartcolorstyle+xml"/>
  <Override PartName="/xl/charts/chart35.xml" ContentType="application/vnd.openxmlformats-officedocument.drawingml.chart+xml"/>
  <Override PartName="/xl/charts/style33.xml" ContentType="application/vnd.ms-office.chartstyle+xml"/>
  <Override PartName="/xl/charts/colors33.xml" ContentType="application/vnd.ms-office.chartcolorstyle+xml"/>
  <Override PartName="/xl/charts/chart36.xml" ContentType="application/vnd.openxmlformats-officedocument.drawingml.chart+xml"/>
  <Override PartName="/xl/charts/style34.xml" ContentType="application/vnd.ms-office.chartstyle+xml"/>
  <Override PartName="/xl/charts/colors34.xml" ContentType="application/vnd.ms-office.chartcolorstyle+xml"/>
  <Override PartName="/xl/charts/chart37.xml" ContentType="application/vnd.openxmlformats-officedocument.drawingml.chart+xml"/>
  <Override PartName="/xl/charts/chart38.xml" ContentType="application/vnd.openxmlformats-officedocument.drawingml.chart+xml"/>
  <Override PartName="/xl/charts/style35.xml" ContentType="application/vnd.ms-office.chartstyle+xml"/>
  <Override PartName="/xl/charts/colors35.xml" ContentType="application/vnd.ms-office.chartcolorstyle+xml"/>
  <Override PartName="/xl/charts/chart39.xml" ContentType="application/vnd.openxmlformats-officedocument.drawingml.chart+xml"/>
  <Override PartName="/xl/charts/style36.xml" ContentType="application/vnd.ms-office.chartstyle+xml"/>
  <Override PartName="/xl/charts/colors36.xml" ContentType="application/vnd.ms-office.chartcolorstyle+xml"/>
  <Override PartName="/xl/charts/chart40.xml" ContentType="application/vnd.openxmlformats-officedocument.drawingml.chart+xml"/>
  <Override PartName="/xl/charts/chart41.xml" ContentType="application/vnd.openxmlformats-officedocument.drawingml.chart+xml"/>
  <Override PartName="/xl/charts/style37.xml" ContentType="application/vnd.ms-office.chartstyle+xml"/>
  <Override PartName="/xl/charts/colors37.xml" ContentType="application/vnd.ms-office.chartcolorstyle+xml"/>
  <Override PartName="/xl/charts/chart42.xml" ContentType="application/vnd.openxmlformats-officedocument.drawingml.chart+xml"/>
  <Override PartName="/xl/charts/style38.xml" ContentType="application/vnd.ms-office.chartstyle+xml"/>
  <Override PartName="/xl/charts/colors38.xml" ContentType="application/vnd.ms-office.chartcolorstyle+xml"/>
  <Override PartName="/xl/charts/chart43.xml" ContentType="application/vnd.openxmlformats-officedocument.drawingml.chart+xml"/>
  <Override PartName="/xl/charts/style39.xml" ContentType="application/vnd.ms-office.chartstyle+xml"/>
  <Override PartName="/xl/charts/colors39.xml" ContentType="application/vnd.ms-office.chartcolorstyle+xml"/>
  <Override PartName="/xl/charts/chart44.xml" ContentType="application/vnd.openxmlformats-officedocument.drawingml.chart+xml"/>
  <Override PartName="/xl/charts/style40.xml" ContentType="application/vnd.ms-office.chartstyle+xml"/>
  <Override PartName="/xl/charts/colors40.xml" ContentType="application/vnd.ms-office.chartcolorstyle+xml"/>
  <Override PartName="/xl/charts/chart45.xml" ContentType="application/vnd.openxmlformats-officedocument.drawingml.chart+xml"/>
  <Override PartName="/xl/charts/chart46.xml" ContentType="application/vnd.openxmlformats-officedocument.drawingml.chart+xml"/>
  <Override PartName="/xl/charts/style41.xml" ContentType="application/vnd.ms-office.chartstyle+xml"/>
  <Override PartName="/xl/charts/colors41.xml" ContentType="application/vnd.ms-office.chartcolorstyle+xml"/>
  <Override PartName="/xl/charts/chart47.xml" ContentType="application/vnd.openxmlformats-officedocument.drawingml.chart+xml"/>
  <Override PartName="/xl/charts/style42.xml" ContentType="application/vnd.ms-office.chartstyle+xml"/>
  <Override PartName="/xl/charts/colors42.xml" ContentType="application/vnd.ms-office.chartcolorstyle+xml"/>
  <Override PartName="/xl/charts/chart48.xml" ContentType="application/vnd.openxmlformats-officedocument.drawingml.chart+xml"/>
  <Override PartName="/xl/charts/style43.xml" ContentType="application/vnd.ms-office.chartstyle+xml"/>
  <Override PartName="/xl/charts/colors43.xml" ContentType="application/vnd.ms-office.chartcolorstyle+xml"/>
  <Override PartName="/xl/charts/chart49.xml" ContentType="application/vnd.openxmlformats-officedocument.drawingml.chart+xml"/>
  <Override PartName="/xl/charts/style44.xml" ContentType="application/vnd.ms-office.chartstyle+xml"/>
  <Override PartName="/xl/charts/colors44.xml" ContentType="application/vnd.ms-office.chartcolorstyle+xml"/>
  <Override PartName="/xl/charts/chart50.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hidePivotFieldList="1" defaultThemeVersion="166925"/>
  <mc:AlternateContent xmlns:mc="http://schemas.openxmlformats.org/markup-compatibility/2006">
    <mc:Choice Requires="x15">
      <x15ac:absPath xmlns:x15ac="http://schemas.microsoft.com/office/spreadsheetml/2010/11/ac" url="C:\Users\lufe0\Google Drive\Doctorate_LuisaV2\APPLIES\GitRepository\"/>
    </mc:Choice>
  </mc:AlternateContent>
  <xr:revisionPtr revIDLastSave="0" documentId="13_ncr:1_{823F8E00-4A63-4061-A95E-BC4694F60645}" xr6:coauthVersionLast="34" xr6:coauthVersionMax="34" xr10:uidLastSave="{00000000-0000-0000-0000-000000000000}"/>
  <bookViews>
    <workbookView xWindow="0" yWindow="0" windowWidth="20490" windowHeight="6900" tabRatio="808" xr2:uid="{00000000-000D-0000-FFFF-FFFF00000000}"/>
  </bookViews>
  <sheets>
    <sheet name="ToolInstructions" sheetId="38" r:id="rId1"/>
    <sheet name="APPLIES-motivation" sheetId="37" r:id="rId2"/>
    <sheet name="1.Motiv instFistV" sheetId="29" state="hidden" r:id="rId3"/>
    <sheet name="APPLIES-preparation" sheetId="21" r:id="rId4"/>
    <sheet name="Data_preparationResults" sheetId="35" state="hidden" r:id="rId5"/>
    <sheet name="Preparation results" sheetId="39" r:id="rId6"/>
    <sheet name="SummaryMatrix" sheetId="25" state="hidden" r:id="rId7"/>
    <sheet name="Data" sheetId="36" state="hidden" r:id="rId8"/>
  </sheets>
  <functionGroups builtInGroupCount="19"/>
  <externalReferences>
    <externalReference r:id="rId9"/>
  </externalReferences>
  <definedNames>
    <definedName name="_xlnm._FilterDatabase" localSheetId="6" hidden="1">SummaryMatrix!$A$14:$C$14</definedName>
    <definedName name="ImporOper">'APPLIES-preparation'!$AB$6,'APPLIES-preparation'!#REF!,'APPLIES-preparation'!$AB$9,'APPLIES-preparation'!$AB$12,'APPLIES-preparation'!$AB$18,'APPLIES-preparation'!$AB$22,'APPLIES-preparation'!$AB$25,'APPLIES-preparation'!$AB$29,'APPLIES-preparation'!$AB$33,'APPLIES-preparation'!$AB$38</definedName>
    <definedName name="imporTec">'APPLIES-preparation'!$AB$42,'APPLIES-preparation'!$AB$46,'APPLIES-preparation'!$AB$54,'APPLIES-preparation'!$AB$61</definedName>
    <definedName name="importEcom">'APPLIES-preparation'!#REF!,'APPLIES-preparation'!$AB$66,'APPLIES-preparation'!$AB$70</definedName>
    <definedName name="impSComm">'APPLIES-preparation'!$S$7:$S$8</definedName>
    <definedName name="impSComVar">'APPLIES-preparation'!$S$43:$S$45</definedName>
    <definedName name="impSCust">'APPLIES-preparation'!#REF!</definedName>
    <definedName name="impSDegree">'APPLIES-preparation'!$S$10:$S$11</definedName>
    <definedName name="impSDomK">'APPLIES-preparation'!$S$13:$S$17</definedName>
    <definedName name="impSEcon">'APPLIES-preparation'!#REF!</definedName>
    <definedName name="impSInvest">'APPLIES-preparation'!$S$67:$S$69</definedName>
    <definedName name="impSMarket">'APPLIES-preparation'!$S$19:$S$21</definedName>
    <definedName name="impSOpen">'APPLIES-preparation'!$S$23:$S$24</definedName>
    <definedName name="impSOrgan">'APPLIES-preparation'!$S$26:$S$28</definedName>
    <definedName name="impSPLAw">'APPLIES-preparation'!$S$39:$S$40</definedName>
    <definedName name="impSPotPro">'APPLIES-preparation'!$S$30:$S$32</definedName>
    <definedName name="impSProcess">'APPLIES-preparation'!$S$34:$S$37</definedName>
    <definedName name="impSReuseApt">'APPLIES-preparation'!$S$47:$S$53</definedName>
    <definedName name="impSReusePot">'APPLIES-preparation'!$S$55:$S$60</definedName>
    <definedName name="impSSofEng">'APPLIES-preparation'!$S$62:$S$64</definedName>
    <definedName name="impStaMig">'APPLIES-preparation'!$S$71:$S$73</definedName>
    <definedName name="PLAwareness">'APPLIES-preparation'!$V$39:$V$40</definedName>
    <definedName name="statAnswCom">'APPLIES-preparation'!$P$7:$P$8</definedName>
    <definedName name="statAnswCommVar">'APPLIES-preparation'!$P$43:$P$45</definedName>
    <definedName name="statAnswContr">'APPLIES-preparation'!$P$10:$P$11</definedName>
    <definedName name="statAnswCust">'APPLIES-preparation'!#REF!</definedName>
    <definedName name="statAnswDomKnow">'APPLIES-preparation'!$P$13:$P$17</definedName>
    <definedName name="statAnswEconInd">'APPLIES-preparation'!#REF!</definedName>
    <definedName name="statAnswInvest">'APPLIES-preparation'!$P$67:$P$69</definedName>
    <definedName name="statAnswMarkPot">'APPLIES-preparation'!$P$19:$P$21</definedName>
    <definedName name="statAnswMig">'APPLIES-preparation'!$P$71:$P$73</definedName>
    <definedName name="statAnswOpen">'APPLIES-preparation'!$P$23:$P$24</definedName>
    <definedName name="statAnswOrgPrep">'APPLIES-preparation'!$P$26:$P$28</definedName>
    <definedName name="statAnswPLAwa">'APPLIES-preparation'!$P$39:$P$40</definedName>
    <definedName name="statAnswPotProd">'APPLIES-preparation'!$P$30:$P$32</definedName>
    <definedName name="statAnswProcDisc">'APPLIES-preparation'!$P$34:$P$37</definedName>
    <definedName name="statAnswReuseApt">'APPLIES-preparation'!$P$47:$P$53</definedName>
    <definedName name="statAnswReusePot">'APPLIES-preparation'!$P$55:$P$60</definedName>
    <definedName name="statAnswSECap">'APPLIES-preparation'!$P$62:$P$64</definedName>
    <definedName name="statComm">'APPLIES-preparation'!$V$7:$V$8</definedName>
    <definedName name="statComVar">'APPLIES-preparation'!$V$43:$V$45</definedName>
    <definedName name="statCust">'APPLIES-preparation'!#REF!</definedName>
    <definedName name="statDegree">'APPLIES-preparation'!$V$10:$V$11</definedName>
    <definedName name="statDomain">'APPLIES-preparation'!$V$13:$V$17</definedName>
    <definedName name="statEcon">'APPLIES-preparation'!#REF!</definedName>
    <definedName name="statInvest">'APPLIES-preparation'!$V$67:$V$69</definedName>
    <definedName name="statMark">'APPLIES-preparation'!$V$19:$V$21</definedName>
    <definedName name="statMigr">'APPLIES-preparation'!$V$71:$V$73</definedName>
    <definedName name="statOpen">'APPLIES-preparation'!$V$23:$V$24</definedName>
    <definedName name="statOrganiz">'APPLIES-preparation'!$V$26:$V$28</definedName>
    <definedName name="statPLAwar">'APPLIES-preparation'!$V$39:$V$40</definedName>
    <definedName name="statPotPro">'APPLIES-preparation'!$V$30:$V$32</definedName>
    <definedName name="statProc">'APPLIES-preparation'!$V$34:$V$37</definedName>
    <definedName name="statReuseApt">'APPLIES-preparation'!$V$47:$V$53</definedName>
    <definedName name="statReusePot">'APPLIES-preparation'!$V$55:$V$60</definedName>
    <definedName name="statSoftEng">'APPLIES-preparation'!$V$62:$V$64</definedName>
    <definedName name="TablaDin">Data_preparationResults!$Z$9:$AD$26</definedName>
  </definedNames>
  <calcPr calcId="179021"/>
  <pivotCaches>
    <pivotCache cacheId="1" r:id="rId10"/>
  </pivotCaches>
  <fileRecoveryPr autoRecover="0"/>
</workbook>
</file>

<file path=xl/calcChain.xml><?xml version="1.0" encoding="utf-8"?>
<calcChain xmlns="http://schemas.openxmlformats.org/spreadsheetml/2006/main">
  <c r="A65" i="21" l="1"/>
  <c r="AV6" i="37"/>
  <c r="U73" i="21" l="1"/>
  <c r="V73" i="21" s="1"/>
  <c r="U72" i="21"/>
  <c r="V72" i="21" s="1"/>
  <c r="U71" i="21"/>
  <c r="U69" i="21"/>
  <c r="V69" i="21" s="1"/>
  <c r="U68" i="21"/>
  <c r="U67" i="21"/>
  <c r="U64" i="21"/>
  <c r="U63" i="21"/>
  <c r="U62" i="21"/>
  <c r="U60" i="21"/>
  <c r="U59" i="21"/>
  <c r="U58" i="21"/>
  <c r="U57" i="21"/>
  <c r="U56" i="21"/>
  <c r="U55" i="21"/>
  <c r="U53" i="21"/>
  <c r="U52" i="21"/>
  <c r="U51" i="21"/>
  <c r="U50" i="21"/>
  <c r="U49" i="21"/>
  <c r="U48" i="21"/>
  <c r="U47" i="21"/>
  <c r="U45" i="21"/>
  <c r="U44" i="21"/>
  <c r="U43" i="21"/>
  <c r="U40" i="21"/>
  <c r="U39" i="21"/>
  <c r="U37" i="21"/>
  <c r="U36" i="21"/>
  <c r="U35" i="21"/>
  <c r="U34" i="21"/>
  <c r="U32" i="21"/>
  <c r="U31" i="21"/>
  <c r="U30" i="21"/>
  <c r="U28" i="21"/>
  <c r="U27" i="21"/>
  <c r="U26" i="21"/>
  <c r="U24" i="21"/>
  <c r="U23" i="21"/>
  <c r="U21" i="21"/>
  <c r="U20" i="21"/>
  <c r="U19" i="21"/>
  <c r="U17" i="21"/>
  <c r="U16" i="21"/>
  <c r="U15" i="21"/>
  <c r="U14" i="21"/>
  <c r="U13" i="21"/>
  <c r="U11" i="21"/>
  <c r="U10" i="21"/>
  <c r="U8" i="21"/>
  <c r="U7" i="21"/>
  <c r="S73" i="21"/>
  <c r="S72" i="21"/>
  <c r="V60" i="21" l="1"/>
  <c r="V59" i="21"/>
  <c r="V58" i="21"/>
  <c r="V57" i="21"/>
  <c r="V56" i="21"/>
  <c r="V55" i="21"/>
  <c r="V53" i="21"/>
  <c r="V52" i="21"/>
  <c r="V51" i="21"/>
  <c r="V50" i="21"/>
  <c r="V49" i="21"/>
  <c r="V48" i="21"/>
  <c r="V47" i="21"/>
  <c r="V45" i="21"/>
  <c r="V44" i="21"/>
  <c r="V43" i="21"/>
  <c r="V40" i="21"/>
  <c r="V39" i="21"/>
  <c r="V36" i="21"/>
  <c r="V35" i="21"/>
  <c r="V34" i="21"/>
  <c r="V32" i="21"/>
  <c r="V31" i="21"/>
  <c r="V28" i="21"/>
  <c r="V27" i="21"/>
  <c r="V26" i="21"/>
  <c r="V24" i="21"/>
  <c r="V23" i="21"/>
  <c r="V21" i="21"/>
  <c r="V20" i="21"/>
  <c r="V19" i="21"/>
  <c r="V17" i="21"/>
  <c r="V16" i="21"/>
  <c r="V15" i="21"/>
  <c r="V14" i="21"/>
  <c r="V13" i="21"/>
  <c r="V11" i="21"/>
  <c r="V10" i="21"/>
  <c r="V8" i="21"/>
  <c r="AS7" i="37"/>
  <c r="AX7" i="37" s="1"/>
  <c r="AV7" i="37"/>
  <c r="V7" i="21" l="1"/>
  <c r="K4" i="39"/>
  <c r="K5" i="39"/>
  <c r="K6" i="39"/>
  <c r="AV5" i="37" l="1"/>
  <c r="C6" i="36"/>
  <c r="H14" i="37" l="1"/>
  <c r="H13" i="37"/>
  <c r="H12" i="37"/>
  <c r="H11" i="37"/>
  <c r="H10" i="37"/>
  <c r="H9" i="37"/>
  <c r="H6" i="37"/>
  <c r="H5" i="37"/>
  <c r="H4" i="37"/>
  <c r="C5" i="36"/>
  <c r="W8" i="37" l="1"/>
  <c r="AU12" i="37"/>
  <c r="AU11" i="37"/>
  <c r="AV4" i="37"/>
  <c r="AU10" i="37" s="1"/>
  <c r="R13" i="37"/>
  <c r="AU7" i="37" s="1"/>
  <c r="AT7" i="37" s="1"/>
  <c r="R3" i="37"/>
  <c r="G8" i="37"/>
  <c r="G3" i="37"/>
  <c r="AU4" i="37" s="1"/>
  <c r="AT10" i="37" s="1"/>
  <c r="AU13" i="37" l="1"/>
  <c r="AV8" i="37"/>
  <c r="AY7" i="37" s="1"/>
  <c r="AV10" i="37"/>
  <c r="I317" i="25"/>
  <c r="H317" i="25"/>
  <c r="H316" i="25"/>
  <c r="I316" i="25" s="1"/>
  <c r="H315" i="25"/>
  <c r="I315" i="25" s="1"/>
  <c r="H314" i="25"/>
  <c r="I314" i="25" s="1"/>
  <c r="H313" i="25"/>
  <c r="I313" i="25" s="1"/>
  <c r="H312" i="25"/>
  <c r="I312" i="25" s="1"/>
  <c r="H311" i="25"/>
  <c r="I311" i="25" s="1"/>
  <c r="H308" i="25"/>
  <c r="I308" i="25" s="1"/>
  <c r="H307" i="25"/>
  <c r="I307" i="25" s="1"/>
  <c r="H306" i="25"/>
  <c r="I306" i="25" s="1"/>
  <c r="H305" i="25"/>
  <c r="I305" i="25" s="1"/>
  <c r="H304" i="25"/>
  <c r="I304" i="25" s="1"/>
  <c r="H303" i="25"/>
  <c r="I303" i="25" s="1"/>
  <c r="H302" i="25"/>
  <c r="I302" i="25" s="1"/>
  <c r="H301" i="25"/>
  <c r="I301" i="25" s="1"/>
  <c r="H300" i="25"/>
  <c r="I300" i="25" s="1"/>
  <c r="H297" i="25"/>
  <c r="I297" i="25" s="1"/>
  <c r="H296" i="25"/>
  <c r="I296" i="25" s="1"/>
  <c r="H295" i="25"/>
  <c r="I295" i="25" s="1"/>
  <c r="H294" i="25"/>
  <c r="I294" i="25" s="1"/>
  <c r="H293" i="25"/>
  <c r="I293" i="25" s="1"/>
  <c r="H292" i="25"/>
  <c r="I292" i="25" s="1"/>
  <c r="H291" i="25"/>
  <c r="I291" i="25" s="1"/>
  <c r="H290" i="25"/>
  <c r="I290" i="25" s="1"/>
  <c r="F8" i="25"/>
  <c r="E8" i="25"/>
  <c r="G8" i="25" s="1"/>
  <c r="J8" i="25" s="1"/>
  <c r="D8" i="25"/>
  <c r="I8" i="25" s="1"/>
  <c r="C8" i="25"/>
  <c r="H8" i="25" s="1"/>
  <c r="B8" i="25"/>
  <c r="F7" i="25"/>
  <c r="E7" i="25"/>
  <c r="C7" i="25"/>
  <c r="H7" i="25" s="1"/>
  <c r="B7" i="25"/>
  <c r="F6" i="25"/>
  <c r="E6" i="25"/>
  <c r="C6" i="25"/>
  <c r="H6" i="25" s="1"/>
  <c r="B6" i="25"/>
  <c r="F5" i="25"/>
  <c r="E5" i="25"/>
  <c r="C5" i="25"/>
  <c r="H5" i="25" s="1"/>
  <c r="B5" i="25"/>
  <c r="F4" i="25"/>
  <c r="E4" i="25"/>
  <c r="C4" i="25"/>
  <c r="H4" i="25" s="1"/>
  <c r="B4" i="25"/>
  <c r="F3" i="25"/>
  <c r="E3" i="25"/>
  <c r="C3" i="25"/>
  <c r="H3" i="25" s="1"/>
  <c r="B3" i="25"/>
  <c r="F2" i="25"/>
  <c r="E2" i="25"/>
  <c r="C2" i="25"/>
  <c r="H2" i="25" s="1"/>
  <c r="B2" i="25"/>
  <c r="Z55" i="35"/>
  <c r="Z54" i="35"/>
  <c r="AB52" i="35" s="1"/>
  <c r="Z53" i="35"/>
  <c r="AB51" i="35" s="1"/>
  <c r="AA50" i="35"/>
  <c r="AB50" i="35" s="1"/>
  <c r="AB24" i="35"/>
  <c r="AA24" i="35"/>
  <c r="AA49" i="35" s="1"/>
  <c r="Z26" i="35"/>
  <c r="AB23" i="35"/>
  <c r="AA23" i="35"/>
  <c r="Z25" i="35"/>
  <c r="AB22" i="35"/>
  <c r="AA22" i="35"/>
  <c r="Z24" i="35"/>
  <c r="AB21" i="35"/>
  <c r="AA21" i="35"/>
  <c r="Z23" i="35"/>
  <c r="Z22" i="35"/>
  <c r="AB20" i="35"/>
  <c r="AA20" i="35"/>
  <c r="Z21" i="35"/>
  <c r="AB19" i="35"/>
  <c r="AA19" i="35"/>
  <c r="Z20" i="35"/>
  <c r="AB18" i="35"/>
  <c r="AA18" i="35"/>
  <c r="Z19" i="35"/>
  <c r="AB17" i="35"/>
  <c r="AA17" i="35"/>
  <c r="Z18" i="35"/>
  <c r="AB16" i="35"/>
  <c r="AA16" i="35"/>
  <c r="Z17" i="35"/>
  <c r="AB15" i="35"/>
  <c r="AA15" i="35"/>
  <c r="Z16" i="35"/>
  <c r="AB14" i="35"/>
  <c r="AA14" i="35"/>
  <c r="Z15" i="35"/>
  <c r="AB13" i="35"/>
  <c r="AA13" i="35"/>
  <c r="Z14" i="35"/>
  <c r="AB12" i="35"/>
  <c r="AA12" i="35"/>
  <c r="Z13" i="35"/>
  <c r="AB11" i="35"/>
  <c r="AA11" i="35"/>
  <c r="AA36" i="35" s="1"/>
  <c r="Z12" i="35"/>
  <c r="AA35" i="35"/>
  <c r="AB35" i="35" s="1"/>
  <c r="Z11" i="35"/>
  <c r="AB10" i="35"/>
  <c r="AA10" i="35"/>
  <c r="AA34" i="35" s="1"/>
  <c r="AC34" i="35" s="1"/>
  <c r="Z10" i="35"/>
  <c r="V71" i="21"/>
  <c r="S71" i="21"/>
  <c r="AB70" i="21"/>
  <c r="Y70" i="21"/>
  <c r="AA70" i="21" s="1"/>
  <c r="E70" i="21"/>
  <c r="V68" i="21"/>
  <c r="S68" i="21"/>
  <c r="V67" i="21"/>
  <c r="S67" i="21"/>
  <c r="AB66" i="21"/>
  <c r="Y66" i="21"/>
  <c r="Z66" i="21" s="1"/>
  <c r="E66" i="21"/>
  <c r="V64" i="21"/>
  <c r="S64" i="21"/>
  <c r="V63" i="21"/>
  <c r="S63" i="21"/>
  <c r="V62" i="21"/>
  <c r="S62" i="21"/>
  <c r="AB61" i="21"/>
  <c r="Y61" i="21"/>
  <c r="AA61" i="21" s="1"/>
  <c r="E61" i="21"/>
  <c r="S60" i="21"/>
  <c r="S59" i="21"/>
  <c r="S58" i="21"/>
  <c r="S57" i="21"/>
  <c r="S56" i="21"/>
  <c r="S55" i="21"/>
  <c r="AB54" i="21"/>
  <c r="Y54" i="21"/>
  <c r="E54" i="21"/>
  <c r="S53" i="21"/>
  <c r="S52" i="21"/>
  <c r="S51" i="21"/>
  <c r="S50" i="21"/>
  <c r="S49" i="21"/>
  <c r="S48" i="21"/>
  <c r="S47" i="21"/>
  <c r="AB46" i="21"/>
  <c r="Y46" i="21"/>
  <c r="AA46" i="21" s="1"/>
  <c r="AC46" i="21" s="1"/>
  <c r="E46" i="21"/>
  <c r="S45" i="21"/>
  <c r="S44" i="21"/>
  <c r="S43" i="21"/>
  <c r="AB42" i="21"/>
  <c r="Y42" i="21"/>
  <c r="AA42" i="21" s="1"/>
  <c r="AC42" i="21" s="1"/>
  <c r="E42" i="21"/>
  <c r="A41" i="21"/>
  <c r="S40" i="21"/>
  <c r="S39" i="21"/>
  <c r="AB38" i="21"/>
  <c r="Y38" i="21"/>
  <c r="AA38" i="21" s="1"/>
  <c r="AC38" i="21" s="1"/>
  <c r="E38" i="21"/>
  <c r="V37" i="21"/>
  <c r="S37" i="21"/>
  <c r="S36" i="21"/>
  <c r="S35" i="21"/>
  <c r="S34" i="21"/>
  <c r="AB33" i="21"/>
  <c r="Y33" i="21"/>
  <c r="Z33" i="21" s="1"/>
  <c r="E33" i="21"/>
  <c r="S32" i="21"/>
  <c r="S31" i="21"/>
  <c r="V30" i="21"/>
  <c r="S30" i="21"/>
  <c r="AB29" i="21"/>
  <c r="Y29" i="21"/>
  <c r="Z29" i="21" s="1"/>
  <c r="E29" i="21"/>
  <c r="S28" i="21"/>
  <c r="S27" i="21"/>
  <c r="S26" i="21"/>
  <c r="AB25" i="21"/>
  <c r="Y25" i="21"/>
  <c r="Z25" i="21" s="1"/>
  <c r="E25" i="21"/>
  <c r="S24" i="21"/>
  <c r="S23" i="21"/>
  <c r="AB22" i="21"/>
  <c r="Y22" i="21"/>
  <c r="Z22" i="21" s="1"/>
  <c r="E22" i="21"/>
  <c r="S21" i="21"/>
  <c r="S20" i="21"/>
  <c r="S19" i="21"/>
  <c r="AB18" i="21"/>
  <c r="Y18" i="21"/>
  <c r="Z18" i="21" s="1"/>
  <c r="E18" i="21"/>
  <c r="S17" i="21"/>
  <c r="S16" i="21"/>
  <c r="S15" i="21"/>
  <c r="S14" i="21"/>
  <c r="S13" i="21"/>
  <c r="AB12" i="21"/>
  <c r="Y12" i="21"/>
  <c r="Z12" i="21" s="1"/>
  <c r="E12" i="21"/>
  <c r="S11" i="21"/>
  <c r="S10" i="21"/>
  <c r="AB9" i="21"/>
  <c r="Y9" i="21"/>
  <c r="Z9" i="21" s="1"/>
  <c r="E9" i="21"/>
  <c r="S8" i="21"/>
  <c r="S7" i="21"/>
  <c r="AB6" i="21"/>
  <c r="Y6" i="21"/>
  <c r="Z6" i="21" s="1"/>
  <c r="A5" i="21"/>
  <c r="C32" i="29"/>
  <c r="C28" i="29"/>
  <c r="AD9" i="29" s="1"/>
  <c r="C23" i="29"/>
  <c r="AD8" i="29" s="1"/>
  <c r="C19" i="29"/>
  <c r="AE10" i="29"/>
  <c r="AD10" i="29"/>
  <c r="AB10" i="29"/>
  <c r="C10" i="29"/>
  <c r="AD6" i="29" s="1"/>
  <c r="AE9" i="29"/>
  <c r="AB9" i="29"/>
  <c r="AE8" i="29"/>
  <c r="AB8" i="29"/>
  <c r="AE7" i="29"/>
  <c r="AD7" i="29"/>
  <c r="AB7" i="29"/>
  <c r="AE6" i="29"/>
  <c r="AB6" i="29"/>
  <c r="AE5" i="29"/>
  <c r="AB5" i="29"/>
  <c r="C4" i="29"/>
  <c r="AD5" i="29" s="1"/>
  <c r="AU5" i="37"/>
  <c r="AS6" i="37"/>
  <c r="AS5" i="37"/>
  <c r="AS4" i="37"/>
  <c r="AU6" i="37"/>
  <c r="AT12" i="37" s="1"/>
  <c r="AV12" i="37" s="1"/>
  <c r="C3" i="36"/>
  <c r="C2" i="36"/>
  <c r="C4" i="36"/>
  <c r="T10" i="21" l="1"/>
  <c r="AC70" i="21"/>
  <c r="AC61" i="21"/>
  <c r="T73" i="21"/>
  <c r="T72" i="21"/>
  <c r="T69" i="21"/>
  <c r="AA48" i="35"/>
  <c r="AC48" i="35" s="1"/>
  <c r="AA47" i="35"/>
  <c r="AB47" i="35" s="1"/>
  <c r="AC10" i="29"/>
  <c r="J290" i="25"/>
  <c r="J300" i="25"/>
  <c r="AC6" i="29"/>
  <c r="AC50" i="35"/>
  <c r="AF19" i="35"/>
  <c r="AF20" i="35"/>
  <c r="AC18" i="35"/>
  <c r="AF13" i="35"/>
  <c r="AF12" i="35"/>
  <c r="AF17" i="35"/>
  <c r="AF14" i="35"/>
  <c r="AC22" i="35"/>
  <c r="AC11" i="35"/>
  <c r="AF16" i="35"/>
  <c r="AC21" i="35"/>
  <c r="AF10" i="35"/>
  <c r="AF15" i="35"/>
  <c r="AC24" i="35"/>
  <c r="W3" i="37"/>
  <c r="D7" i="35"/>
  <c r="AA51" i="35"/>
  <c r="AT11" i="37"/>
  <c r="AV11" i="37" s="1"/>
  <c r="AS13" i="37"/>
  <c r="AS12" i="37"/>
  <c r="AX6" i="37"/>
  <c r="AS10" i="37"/>
  <c r="AX4" i="37"/>
  <c r="AS11" i="37"/>
  <c r="AX5" i="37"/>
  <c r="AY5" i="37"/>
  <c r="AY6" i="37"/>
  <c r="AY4" i="37"/>
  <c r="G5" i="25"/>
  <c r="J5" i="25" s="1"/>
  <c r="G7" i="25"/>
  <c r="J7" i="25" s="1"/>
  <c r="AA41" i="35"/>
  <c r="AD70" i="21"/>
  <c r="T24" i="21"/>
  <c r="T43" i="21"/>
  <c r="T51" i="21"/>
  <c r="T63" i="21"/>
  <c r="T8" i="21"/>
  <c r="T62" i="21"/>
  <c r="AD66" i="21"/>
  <c r="T71" i="21"/>
  <c r="G2" i="25"/>
  <c r="J2" i="25" s="1"/>
  <c r="T13" i="21"/>
  <c r="T30" i="21"/>
  <c r="T55" i="21"/>
  <c r="T58" i="21"/>
  <c r="T60" i="21"/>
  <c r="T67" i="21"/>
  <c r="T50" i="21"/>
  <c r="AA37" i="35"/>
  <c r="AA45" i="35"/>
  <c r="T57" i="21"/>
  <c r="AA66" i="21"/>
  <c r="AC66" i="21" s="1"/>
  <c r="AA6" i="21"/>
  <c r="AC6" i="21" s="1"/>
  <c r="AA9" i="21"/>
  <c r="AC9" i="21" s="1"/>
  <c r="T16" i="21"/>
  <c r="AA18" i="21"/>
  <c r="AC18" i="21" s="1"/>
  <c r="AA22" i="21"/>
  <c r="AC22" i="21" s="1"/>
  <c r="AA33" i="21"/>
  <c r="AC33" i="21" s="1"/>
  <c r="T37" i="21"/>
  <c r="Z38" i="21"/>
  <c r="T44" i="21"/>
  <c r="Z61" i="21"/>
  <c r="T68" i="21"/>
  <c r="Z70" i="21"/>
  <c r="AA46" i="35"/>
  <c r="AB34" i="35"/>
  <c r="G6" i="25"/>
  <c r="J6" i="25" s="1"/>
  <c r="AA39" i="35"/>
  <c r="AA40" i="35"/>
  <c r="AA42" i="35"/>
  <c r="AA43" i="35"/>
  <c r="AA44" i="35"/>
  <c r="G3" i="25"/>
  <c r="J3" i="25" s="1"/>
  <c r="G4" i="25"/>
  <c r="J4" i="25" s="1"/>
  <c r="AD6" i="21"/>
  <c r="AD9" i="21"/>
  <c r="T49" i="21"/>
  <c r="T56" i="21"/>
  <c r="T59" i="21"/>
  <c r="AA12" i="21"/>
  <c r="AC12" i="21" s="1"/>
  <c r="AA25" i="21"/>
  <c r="T28" i="21"/>
  <c r="AA29" i="21"/>
  <c r="AC29" i="21" s="1"/>
  <c r="T34" i="21"/>
  <c r="T45" i="21"/>
  <c r="AA38" i="35"/>
  <c r="AT4" i="37"/>
  <c r="AT5" i="37"/>
  <c r="F4" i="29"/>
  <c r="AT6" i="37"/>
  <c r="AD18" i="21"/>
  <c r="AD33" i="21"/>
  <c r="AC5" i="29"/>
  <c r="T20" i="21"/>
  <c r="T23" i="21"/>
  <c r="T21" i="21"/>
  <c r="AD12" i="21"/>
  <c r="T15" i="21"/>
  <c r="T19" i="21"/>
  <c r="T27" i="21"/>
  <c r="AD29" i="21"/>
  <c r="T32" i="21"/>
  <c r="AD38" i="21"/>
  <c r="AC9" i="29"/>
  <c r="E6" i="21"/>
  <c r="T11" i="21"/>
  <c r="AD25" i="21"/>
  <c r="AD61" i="21"/>
  <c r="AD42" i="21"/>
  <c r="AD46" i="21"/>
  <c r="AA54" i="21"/>
  <c r="AC54" i="21" s="1"/>
  <c r="Z54" i="21"/>
  <c r="AC8" i="29"/>
  <c r="T7" i="21"/>
  <c r="AC7" i="29"/>
  <c r="T14" i="21"/>
  <c r="T17" i="21"/>
  <c r="AD22" i="21"/>
  <c r="T26" i="21"/>
  <c r="T31" i="21"/>
  <c r="AD54" i="21"/>
  <c r="T53" i="21"/>
  <c r="T64" i="21"/>
  <c r="AC49" i="35"/>
  <c r="AB49" i="35"/>
  <c r="T36" i="21"/>
  <c r="T40" i="21"/>
  <c r="Z46" i="21"/>
  <c r="T48" i="21"/>
  <c r="T52" i="21"/>
  <c r="AC36" i="35"/>
  <c r="AB36" i="35"/>
  <c r="AC35" i="35"/>
  <c r="T35" i="21"/>
  <c r="T39" i="21"/>
  <c r="Z42" i="21"/>
  <c r="T47" i="21"/>
  <c r="AD23" i="35" l="1"/>
  <c r="AC25" i="21"/>
  <c r="AD17" i="35" s="1"/>
  <c r="AC47" i="35"/>
  <c r="AB48" i="35"/>
  <c r="AB43" i="35"/>
  <c r="AF21" i="35"/>
  <c r="AC10" i="35"/>
  <c r="AF23" i="35"/>
  <c r="AC17" i="35"/>
  <c r="AB42" i="35" s="1"/>
  <c r="AF11" i="35"/>
  <c r="AF22" i="35"/>
  <c r="AC14" i="35"/>
  <c r="AB39" i="35" s="1"/>
  <c r="AC12" i="35"/>
  <c r="AB37" i="35" s="1"/>
  <c r="AF24" i="35"/>
  <c r="AC23" i="35"/>
  <c r="AC20" i="35"/>
  <c r="AC13" i="35"/>
  <c r="AB38" i="35" s="1"/>
  <c r="AF18" i="35"/>
  <c r="AC16" i="35"/>
  <c r="AB41" i="35" s="1"/>
  <c r="AC19" i="35"/>
  <c r="AB44" i="35" s="1"/>
  <c r="AD19" i="35"/>
  <c r="AC15" i="35"/>
  <c r="AD15" i="35"/>
  <c r="AD11" i="35"/>
  <c r="AD20" i="35"/>
  <c r="AD13" i="35"/>
  <c r="AD18" i="35"/>
  <c r="AD24" i="35"/>
  <c r="AD16" i="35"/>
  <c r="AD12" i="35"/>
  <c r="AD14" i="35"/>
  <c r="AD22" i="35"/>
  <c r="AD10" i="35"/>
  <c r="AG24" i="35" l="1"/>
  <c r="AG11" i="35"/>
  <c r="AG18" i="35"/>
  <c r="AG15" i="35"/>
  <c r="AG14" i="35"/>
  <c r="AG12" i="35"/>
  <c r="AG13" i="35"/>
  <c r="AG17" i="35"/>
  <c r="AG22" i="35"/>
  <c r="AG10" i="35"/>
  <c r="AG16" i="35"/>
  <c r="AG20" i="35"/>
  <c r="AG19" i="35"/>
  <c r="AG23" i="35"/>
  <c r="AE10" i="35"/>
  <c r="AE16" i="35"/>
  <c r="AE20" i="35"/>
  <c r="AE19" i="35"/>
  <c r="AE23" i="35"/>
  <c r="AE22" i="35"/>
  <c r="AE24" i="35"/>
  <c r="AE11" i="35"/>
  <c r="AE14" i="35"/>
  <c r="AE18" i="35"/>
  <c r="AE15" i="35"/>
  <c r="AE12" i="35"/>
  <c r="AE13" i="35"/>
  <c r="AE17" i="35"/>
  <c r="AF25" i="35"/>
  <c r="Z32" i="35"/>
  <c r="AB45" i="35"/>
  <c r="D3" i="25"/>
  <c r="I3" i="25" s="1"/>
  <c r="AE46" i="21"/>
  <c r="D7" i="25"/>
  <c r="I7" i="25" s="1"/>
  <c r="AB46" i="35"/>
  <c r="AB40" i="35"/>
  <c r="AE9" i="21"/>
  <c r="D2" i="25"/>
  <c r="I2" i="25" s="1"/>
  <c r="AE6" i="21"/>
  <c r="AE12" i="21"/>
  <c r="AE29" i="21"/>
  <c r="AE38" i="21"/>
  <c r="AE70" i="21"/>
  <c r="AE33" i="21"/>
  <c r="D5" i="25"/>
  <c r="I5" i="25" s="1"/>
  <c r="AE22" i="21"/>
  <c r="AE54" i="21"/>
  <c r="D4" i="25"/>
  <c r="I4" i="25" s="1"/>
  <c r="AE18" i="21"/>
  <c r="D6" i="25"/>
  <c r="I6" i="25" s="1"/>
  <c r="AE25" i="21"/>
  <c r="AE61" i="21"/>
  <c r="AE66" i="21"/>
  <c r="AE42" i="21"/>
  <c r="AD21" i="35"/>
  <c r="Q4" i="39" s="1"/>
  <c r="AK10" i="35" l="1"/>
  <c r="AI11" i="35" s="1"/>
  <c r="AG21" i="35"/>
  <c r="AK12" i="35" s="1"/>
  <c r="AI23" i="35" s="1"/>
  <c r="AK11" i="35"/>
  <c r="AI19" i="35" s="1"/>
  <c r="AE21" i="35"/>
  <c r="Q8" i="39" s="1"/>
  <c r="Q6" i="39"/>
  <c r="Q5" i="39" s="1"/>
  <c r="AC40" i="35"/>
  <c r="AC46" i="35"/>
  <c r="AC45" i="35"/>
  <c r="AC44" i="35"/>
  <c r="AC43" i="35"/>
  <c r="AC41" i="35"/>
  <c r="AC38" i="35"/>
  <c r="AC39" i="35"/>
  <c r="AC42" i="35"/>
  <c r="AF65" i="21"/>
  <c r="AF5" i="21"/>
  <c r="AF41" i="21"/>
  <c r="AC37" i="35"/>
  <c r="Z33" i="35"/>
  <c r="AI22" i="35" l="1"/>
  <c r="AI10" i="35"/>
  <c r="AL10" i="35" s="1"/>
  <c r="M6" i="39" s="1"/>
  <c r="AI21" i="35"/>
  <c r="AI16" i="35"/>
  <c r="AI18" i="35"/>
  <c r="AI14" i="35"/>
  <c r="AI17" i="35"/>
  <c r="AI12" i="35"/>
  <c r="AI20" i="35"/>
  <c r="AG25" i="35"/>
  <c r="AH22" i="35" s="1"/>
  <c r="AI13" i="35"/>
  <c r="AI24" i="35"/>
  <c r="AI15" i="35"/>
  <c r="AU8" i="37"/>
  <c r="AW8" i="37" s="1"/>
  <c r="AL12" i="35" l="1"/>
  <c r="M5" i="39" s="1"/>
  <c r="AH11" i="35"/>
  <c r="AH10" i="35"/>
  <c r="AL11" i="35"/>
  <c r="M4" i="39" s="1"/>
  <c r="AH14" i="35"/>
  <c r="AH12" i="35"/>
  <c r="AH20" i="35"/>
  <c r="AH19" i="35"/>
  <c r="AH13" i="35"/>
  <c r="AH18" i="35"/>
  <c r="AH16" i="35"/>
  <c r="AH15" i="35"/>
  <c r="AH17" i="35"/>
  <c r="AH23" i="35"/>
  <c r="AH24" i="35"/>
  <c r="AH21" i="35"/>
  <c r="AT13" i="37"/>
  <c r="AV13" i="37" s="1"/>
  <c r="AH25" i="35" l="1"/>
  <c r="B5" i="39" s="1"/>
  <c r="B8" i="39" l="1"/>
  <c r="D4" i="39"/>
</calcChain>
</file>

<file path=xl/sharedStrings.xml><?xml version="1.0" encoding="utf-8"?>
<sst xmlns="http://schemas.openxmlformats.org/spreadsheetml/2006/main" count="871" uniqueCount="422">
  <si>
    <t>No</t>
  </si>
  <si>
    <t>Type</t>
  </si>
  <si>
    <t>Yes</t>
  </si>
  <si>
    <t>Inputs</t>
  </si>
  <si>
    <t>Technical feasibility</t>
  </si>
  <si>
    <t>Operational feasibility</t>
  </si>
  <si>
    <t>Domain knowledge</t>
  </si>
  <si>
    <t>Potential products</t>
  </si>
  <si>
    <t>--</t>
  </si>
  <si>
    <t>Very important</t>
  </si>
  <si>
    <t>Important</t>
  </si>
  <si>
    <t>Desirable</t>
  </si>
  <si>
    <t>Intermediate values</t>
  </si>
  <si>
    <t>Rating (ordinal)</t>
  </si>
  <si>
    <t>Outputs (internal)</t>
  </si>
  <si>
    <t>Outputs (user)</t>
  </si>
  <si>
    <t>pot1</t>
  </si>
  <si>
    <t>pot4</t>
  </si>
  <si>
    <t>Products of the product line will be developped with a stable technology (Refresh rate &gt;5 years)</t>
  </si>
  <si>
    <t>Common1</t>
  </si>
  <si>
    <t>marketOrien4</t>
  </si>
  <si>
    <t>marketOrien5</t>
  </si>
  <si>
    <t>DomKnow1</t>
  </si>
  <si>
    <t>DomKnow3</t>
  </si>
  <si>
    <t>DomKnow 2</t>
  </si>
  <si>
    <t>Common2</t>
  </si>
  <si>
    <t>PotProduct3</t>
  </si>
  <si>
    <t>PotProduct4</t>
  </si>
  <si>
    <t>PotProduct7</t>
  </si>
  <si>
    <t>PotProduct8</t>
  </si>
  <si>
    <t>Dimensions</t>
  </si>
  <si>
    <t>Score</t>
  </si>
  <si>
    <t>Relative weight by statetement
(Ws)</t>
  </si>
  <si>
    <t>Internal</t>
  </si>
  <si>
    <t>External</t>
  </si>
  <si>
    <t>Suggested importance</t>
  </si>
  <si>
    <t>Customized importance</t>
  </si>
  <si>
    <t>Summary for graph</t>
  </si>
  <si>
    <t>Criteria</t>
  </si>
  <si>
    <t>Op.</t>
  </si>
  <si>
    <t>Tech.</t>
  </si>
  <si>
    <t>Label</t>
  </si>
  <si>
    <t>Coordenate (x)</t>
  </si>
  <si>
    <t>Coordenate (y)</t>
  </si>
  <si>
    <t>SuggestedImp</t>
  </si>
  <si>
    <t>CustomImport</t>
  </si>
  <si>
    <t>FinalImp</t>
  </si>
  <si>
    <t>Suggested Imp</t>
  </si>
  <si>
    <t>Matrix info</t>
  </si>
  <si>
    <t>VeryImp</t>
  </si>
  <si>
    <t>Imp</t>
  </si>
  <si>
    <t>Des</t>
  </si>
  <si>
    <t>NoApp</t>
  </si>
  <si>
    <t>Op.Crit1</t>
  </si>
  <si>
    <t>Op.Crit2</t>
  </si>
  <si>
    <t>Op.Crit3</t>
  </si>
  <si>
    <t>Op.Crit4</t>
  </si>
  <si>
    <t>Op.Crit5</t>
  </si>
  <si>
    <t>Op.Crit6</t>
  </si>
  <si>
    <t>Tech.Cri1</t>
  </si>
  <si>
    <t>Tech.Cri2</t>
  </si>
  <si>
    <t>Tech.Cri3</t>
  </si>
  <si>
    <t>Tech.Cri4</t>
  </si>
  <si>
    <t>Tech.Cri5</t>
  </si>
  <si>
    <t>Tech.Cri6</t>
  </si>
  <si>
    <t>Tech.Cri7</t>
  </si>
  <si>
    <t>Op.Crit7</t>
  </si>
  <si>
    <t>Op.Crit8</t>
  </si>
  <si>
    <t>Econo.Cri1</t>
  </si>
  <si>
    <t>Econo.Cri2</t>
  </si>
  <si>
    <t>Econo.Cri3</t>
  </si>
  <si>
    <t>Econo.Cri4</t>
  </si>
  <si>
    <t>Econo.Cri5</t>
  </si>
  <si>
    <t>Econo.Cri6</t>
  </si>
  <si>
    <t>Econo.Cri7</t>
  </si>
  <si>
    <t>Econo.Cri8</t>
  </si>
  <si>
    <t>Econo.Cri9</t>
  </si>
  <si>
    <t>Score (y)</t>
  </si>
  <si>
    <t>Importance(x)</t>
  </si>
  <si>
    <t>Impotant</t>
  </si>
  <si>
    <t>Not apply</t>
  </si>
  <si>
    <t>Importance Label(x)</t>
  </si>
  <si>
    <t>Oportunities</t>
  </si>
  <si>
    <t>Weaknesses</t>
  </si>
  <si>
    <t>Threats</t>
  </si>
  <si>
    <t>Strengths</t>
  </si>
  <si>
    <t>Ec.Cri8</t>
  </si>
  <si>
    <t>Ec.Cri1</t>
  </si>
  <si>
    <t>Ec.Cri4</t>
  </si>
  <si>
    <t>Ec.Cri5</t>
  </si>
  <si>
    <t>Ec.Cri7</t>
  </si>
  <si>
    <t>Ec.Cri6</t>
  </si>
  <si>
    <t>Ec.Cri3</t>
  </si>
  <si>
    <t>Ec.Cri2</t>
  </si>
  <si>
    <t>Ec.Cri9</t>
  </si>
  <si>
    <t>Economical</t>
  </si>
  <si>
    <t>Technical</t>
  </si>
  <si>
    <t>Operational importat</t>
  </si>
  <si>
    <t>Operational very important</t>
  </si>
  <si>
    <t>Operational desirable</t>
  </si>
  <si>
    <t>Gráfico con la información final</t>
  </si>
  <si>
    <t>Economical feasibility</t>
  </si>
  <si>
    <t>Average reference value</t>
  </si>
  <si>
    <t>Name</t>
  </si>
  <si>
    <t>The organization is able to balance customer and product-centered approaches in product  development</t>
  </si>
  <si>
    <t>MangSupp1</t>
  </si>
  <si>
    <t>Commitment of key actors</t>
  </si>
  <si>
    <t>Process discipline</t>
  </si>
  <si>
    <t>ProDisci1</t>
  </si>
  <si>
    <t>ProDics4</t>
  </si>
  <si>
    <t>ProDics6</t>
  </si>
  <si>
    <t>Economic indicators</t>
  </si>
  <si>
    <t xml:space="preserve">The organization is willing to do regular investments  to keep code healthy and keep the number of variations manageable.  </t>
  </si>
  <si>
    <t>PotInvest1</t>
  </si>
  <si>
    <t>bussMotiv2</t>
  </si>
  <si>
    <t>bussMotiv3</t>
  </si>
  <si>
    <t>bussMotiv1</t>
  </si>
  <si>
    <t>Common3</t>
  </si>
  <si>
    <t>Potential products  have common features</t>
  </si>
  <si>
    <t>Common4</t>
  </si>
  <si>
    <t>Variabil1</t>
  </si>
  <si>
    <t>Variabil3</t>
  </si>
  <si>
    <t>Variabil4</t>
  </si>
  <si>
    <t>Techcnical feasibility</t>
  </si>
  <si>
    <t>bussMotiv4</t>
  </si>
  <si>
    <t>bussMotiv5</t>
  </si>
  <si>
    <t>Market potential</t>
  </si>
  <si>
    <t>Reuse potential</t>
  </si>
  <si>
    <t>SPLawa3</t>
  </si>
  <si>
    <t>SPLawa2</t>
  </si>
  <si>
    <t>SPLawa1</t>
  </si>
  <si>
    <t>CommKey4</t>
  </si>
  <si>
    <t>DomKnow5</t>
  </si>
  <si>
    <t>PotInvest2</t>
  </si>
  <si>
    <t>Software engineering capability</t>
  </si>
  <si>
    <t>DomKnow7</t>
  </si>
  <si>
    <t>exisAsset2</t>
  </si>
  <si>
    <t>exisAsset4</t>
  </si>
  <si>
    <t>reusePotent6</t>
  </si>
  <si>
    <t>reusePotent5</t>
  </si>
  <si>
    <t>Reuse aptitute</t>
  </si>
  <si>
    <t>reuseApt1</t>
  </si>
  <si>
    <t>reuseApt3</t>
  </si>
  <si>
    <t>The legacy code could be incorporated into the product line approach with minor or no changes</t>
  </si>
  <si>
    <t>reusPoten2</t>
  </si>
  <si>
    <t xml:space="preserve">reuseApt4
</t>
  </si>
  <si>
    <t>SECap5</t>
  </si>
  <si>
    <t>SEICap6</t>
  </si>
  <si>
    <t>reusePotent3</t>
  </si>
  <si>
    <t>SEICap8</t>
  </si>
  <si>
    <t>reuseApt5</t>
  </si>
  <si>
    <t>reuseApt6</t>
  </si>
  <si>
    <t>bussMotiv6</t>
  </si>
  <si>
    <t>The enterprise is willing to pay the costs for training people in SPL engineering</t>
  </si>
  <si>
    <t>reuseApt7</t>
  </si>
  <si>
    <t>individuals
1</t>
  </si>
  <si>
    <t>individuals6</t>
  </si>
  <si>
    <t>orgprep1</t>
  </si>
  <si>
    <t>orgprep2</t>
  </si>
  <si>
    <t>bussMotiv8</t>
  </si>
  <si>
    <t>bussMotiv9</t>
  </si>
  <si>
    <t>bussMotiv10</t>
  </si>
  <si>
    <t>individuals4</t>
  </si>
  <si>
    <t>bussMotiv11</t>
  </si>
  <si>
    <t>bussMotiv12</t>
  </si>
  <si>
    <t>bussMotiv13</t>
  </si>
  <si>
    <t>Organizational challenges</t>
  </si>
  <si>
    <t>bussMotiv15</t>
  </si>
  <si>
    <t>bussMotiv16</t>
  </si>
  <si>
    <t>bussMotiv17</t>
  </si>
  <si>
    <t>ProDisci2</t>
  </si>
  <si>
    <t>bussMotiv18</t>
  </si>
  <si>
    <t>bussMotiv19</t>
  </si>
  <si>
    <t>The organization has formal plans to maintain its assets</t>
  </si>
  <si>
    <t>bussMotiv20</t>
  </si>
  <si>
    <t>bussMotiv21</t>
  </si>
  <si>
    <t>bussMotiv22</t>
  </si>
  <si>
    <t>Testers find repeated bugs with similar causes</t>
  </si>
  <si>
    <t>Organizational opportunities</t>
  </si>
  <si>
    <t>Discomfort - management problems</t>
  </si>
  <si>
    <t>bussMotiv24</t>
  </si>
  <si>
    <t>Readiness to pay migration costs</t>
  </si>
  <si>
    <t>Readiness to do investments</t>
  </si>
  <si>
    <t>Product variants are implemented in source code files that are scattered in different parts of the code repository</t>
  </si>
  <si>
    <t>Products take too long to integrate, test, and get out the door</t>
  </si>
  <si>
    <t>It is difficult to ensure that modifications of specific products do not affect the quality of other products</t>
  </si>
  <si>
    <t>Entirely new products will be developed</t>
  </si>
  <si>
    <t>migraCost2</t>
  </si>
  <si>
    <t>Requirements are documented in a structured and disciplined way</t>
  </si>
  <si>
    <t>The organization is a pioneer in the development of products</t>
  </si>
  <si>
    <t>The organization control how the product is developed.  e.g.,there are not design constraints such as  specific components use or support of customer-specific interfaces.</t>
  </si>
  <si>
    <t>Different organizational units are able to work collaboratively</t>
  </si>
  <si>
    <t>There are similarties in customer profiles or in customer business needs</t>
  </si>
  <si>
    <t>Variability among products helps to retain current customers</t>
  </si>
  <si>
    <t>Variability among products helps to gain new customers</t>
  </si>
  <si>
    <t>The organization has a strategy to control the change management in their artifacts</t>
  </si>
  <si>
    <t>Reuse opportunities</t>
  </si>
  <si>
    <t>There are overlapping elements in the plans for different products. e.g. uncoming trends or domain-specific technologies that are expected to be used within many products in the future</t>
  </si>
  <si>
    <t>Discomfort - lack of systematic and planned reuse among products</t>
  </si>
  <si>
    <t>Discomfort - product quality weaknesses</t>
  </si>
  <si>
    <t>The cost of product development grows too high</t>
  </si>
  <si>
    <t>The organization needs developing an increasing number of specialized products quickly</t>
  </si>
  <si>
    <t>The organization requires entering into new niche markets with low-priced products that share characteristics</t>
  </si>
  <si>
    <t>The company has identical or highly similar software code segments caused by overuse of cut and paste programming</t>
  </si>
  <si>
    <t>Current products are similar, but they were implemented in completely different ways</t>
  </si>
  <si>
    <t>Existing products meet the market needs but require constant investment to ensure their evolution and maintainability</t>
  </si>
  <si>
    <t>New products include the complete set of functionalities and services even though they do not require everything to work properly</t>
  </si>
  <si>
    <t>The organization needs address complex variability needs</t>
  </si>
  <si>
    <t>Technological advances made it possible to migrate the existing products to the same technology</t>
  </si>
  <si>
    <t>The enterprise has legacy reusable code that would like to translate into a more maintainable form</t>
  </si>
  <si>
    <t>Separated products with common elements were developed without interaction among the teams</t>
  </si>
  <si>
    <t>Current products will be abandoned due to outdated technology or due to difficulties to upgraded them</t>
  </si>
  <si>
    <t xml:space="preserve"> Customers conexión</t>
  </si>
  <si>
    <t>Degree of control over 
product specification</t>
  </si>
  <si>
    <t>Commitment of 
key actors</t>
  </si>
  <si>
    <t>Market 
potential</t>
  </si>
  <si>
    <t>Attitude for change</t>
  </si>
  <si>
    <t>Organizational 
preparation</t>
  </si>
  <si>
    <t>Product line awareness</t>
  </si>
  <si>
    <t xml:space="preserve">Product line awareness
</t>
  </si>
  <si>
    <t xml:space="preserve"> Process discipline</t>
  </si>
  <si>
    <t>Readiness to do 
investments</t>
  </si>
  <si>
    <t xml:space="preserve"> Readiness to pay 
migration costs</t>
  </si>
  <si>
    <t>Software engineering 
capability</t>
  </si>
  <si>
    <t>Economic dimension</t>
  </si>
  <si>
    <t>Commonality and 
variability</t>
  </si>
  <si>
    <t>Calculated importance</t>
  </si>
  <si>
    <t xml:space="preserve"> Degree of control over product specification</t>
  </si>
  <si>
    <t>Input</t>
  </si>
  <si>
    <t>Commonality and variability</t>
  </si>
  <si>
    <t>Criteria score</t>
  </si>
  <si>
    <t>Statement score</t>
  </si>
  <si>
    <t>Dimension score</t>
  </si>
  <si>
    <t>Criterion relative weight</t>
  </si>
  <si>
    <t>Partial grade by criterion</t>
  </si>
  <si>
    <r>
      <t>Rating (numerical)</t>
    </r>
    <r>
      <rPr>
        <sz val="16"/>
        <color theme="1"/>
        <rFont val="Calibri"/>
        <family val="2"/>
        <scheme val="minor"/>
      </rPr>
      <t/>
    </r>
  </si>
  <si>
    <t>Outputs</t>
  </si>
  <si>
    <t>The market is “similar enough” to set features that can be shared across product variants. However, there are still differentiating characteristics</t>
  </si>
  <si>
    <t>Total</t>
  </si>
  <si>
    <t>Aswered triggers</t>
  </si>
  <si>
    <t>Dont'know</t>
  </si>
  <si>
    <t>Match %</t>
  </si>
  <si>
    <t>Triggers category</t>
  </si>
  <si>
    <t>The organization has an uncontrolled set of parts that run separately</t>
  </si>
  <si>
    <t>Tipe</t>
  </si>
  <si>
    <t>Organization's name (please complete)</t>
  </si>
  <si>
    <t>Plots name</t>
  </si>
  <si>
    <t xml:space="preserve"> </t>
  </si>
  <si>
    <t>Criteria summary of scores</t>
  </si>
  <si>
    <t>Select all that apply</t>
  </si>
  <si>
    <t>It becomes impossible to derive new products, or update existing ones with the current production plateform/infraestructure</t>
  </si>
  <si>
    <t> It is complex and time-consuming to coordinate parallel development efforts that share common objectives</t>
  </si>
  <si>
    <t>Customiz
Imp value</t>
  </si>
  <si>
    <t>Calculated importance value</t>
  </si>
  <si>
    <t>Adoption trigger</t>
  </si>
  <si>
    <t>Luis enterprise</t>
  </si>
  <si>
    <t xml:space="preserve">Common products have graphical style differences </t>
  </si>
  <si>
    <t>When the company fixes defects or makes minor enhancements, the same task needs to be repeated for every single client</t>
  </si>
  <si>
    <t>Importance</t>
  </si>
  <si>
    <t>Dimension</t>
  </si>
  <si>
    <t>Operational</t>
  </si>
  <si>
    <t>Economic</t>
  </si>
  <si>
    <t>Resulting  importance-number</t>
  </si>
  <si>
    <t>Not applicable</t>
  </si>
  <si>
    <t>RoundedImportance</t>
  </si>
  <si>
    <t># Importance</t>
  </si>
  <si>
    <t>Operational factors</t>
  </si>
  <si>
    <t>The company has identical or highly similar software code segments due to poor reuse practice such as cut and paste programming practices</t>
  </si>
  <si>
    <t>Current products are similar, but were implemented in completely different ways or without interaction among the teams</t>
  </si>
  <si>
    <t>Id</t>
  </si>
  <si>
    <t>OP-ReusO1</t>
  </si>
  <si>
    <t>OP-ReusO3</t>
  </si>
  <si>
    <t>OP-ReusO4</t>
  </si>
  <si>
    <t>OP-ReusO5</t>
  </si>
  <si>
    <t>OP-ReusO8</t>
  </si>
  <si>
    <t>Similar market</t>
  </si>
  <si>
    <t>OP-challengO2</t>
  </si>
  <si>
    <t>OP-challengO3</t>
  </si>
  <si>
    <t>New market</t>
  </si>
  <si>
    <t>OP-orgOppoO3</t>
  </si>
  <si>
    <t>OP-orgOppoO1</t>
  </si>
  <si>
    <t>OP-orgOppoO4</t>
  </si>
  <si>
    <t>Technology advances</t>
  </si>
  <si>
    <t>Legacy code</t>
  </si>
  <si>
    <t>Th-planReuse1</t>
  </si>
  <si>
    <t>Th-planReuse2</t>
  </si>
  <si>
    <t>Th-planReuse3</t>
  </si>
  <si>
    <t>Th-planReuse4</t>
  </si>
  <si>
    <t>Th-planReuse5</t>
  </si>
  <si>
    <t>Repeated bugs</t>
  </si>
  <si>
    <t>Duplicated source code</t>
  </si>
  <si>
    <t>Graphical style differences</t>
  </si>
  <si>
    <t>Modifications affects other products</t>
  </si>
  <si>
    <t>Products includes all functionalities</t>
  </si>
  <si>
    <t>Th-qualityWeakn1</t>
  </si>
  <si>
    <t>Th-qualityWeakn2</t>
  </si>
  <si>
    <t>Th-qualityWeakn3</t>
  </si>
  <si>
    <t>Similar products implemented differently</t>
  </si>
  <si>
    <t>Th-planReuse6</t>
  </si>
  <si>
    <t>Th-highCost1</t>
  </si>
  <si>
    <t>Th-highCost2</t>
  </si>
  <si>
    <t>Score overview chart</t>
  </si>
  <si>
    <t>SWOT -classification</t>
  </si>
  <si>
    <t>Opportunity driven trigger</t>
  </si>
  <si>
    <t>Weaknesses-driven triggers</t>
  </si>
  <si>
    <t>The market requires  an increasing number of specialized products in a short time. These products might be developed by the organization</t>
  </si>
  <si>
    <t>Threat-driven trigger</t>
  </si>
  <si>
    <t>Strength-driven trigger</t>
  </si>
  <si>
    <t>Strength- driven trigger</t>
  </si>
  <si>
    <t>The organization gains new customers  due to the variability among their products</t>
  </si>
  <si>
    <t xml:space="preserve">There is a new niche market with shared characteristics. The company expects enter to this market </t>
  </si>
  <si>
    <t>Similar customer profile</t>
  </si>
  <si>
    <t>Gain customers</t>
  </si>
  <si>
    <t>Retain customers</t>
  </si>
  <si>
    <t>Similar incomming plans</t>
  </si>
  <si>
    <t>Technological advances make  possible to migrate existing products with heterogeneus technology to the same technology</t>
  </si>
  <si>
    <t>Alignment with adoption drivers</t>
  </si>
  <si>
    <t>Seleccionados</t>
  </si>
  <si>
    <t>Pendientes</t>
  </si>
  <si>
    <t>The market is “similar enough” to set features that can be shared across product variants and at the same time there are still differentiating characteristics</t>
  </si>
  <si>
    <t>Factor</t>
  </si>
  <si>
    <t>%</t>
  </si>
  <si>
    <t>Adoption drivers</t>
  </si>
  <si>
    <t>Share of selected drivers</t>
  </si>
  <si>
    <t>Strength-based drivers</t>
  </si>
  <si>
    <t>Opportunity-based drivers</t>
  </si>
  <si>
    <t>Weakness-based drivers</t>
  </si>
  <si>
    <t>Threat-based drivers</t>
  </si>
  <si>
    <t>Repeated maintenance tasks</t>
  </si>
  <si>
    <t xml:space="preserve">Customize products in short time </t>
  </si>
  <si>
    <t>Performance by dimension</t>
  </si>
  <si>
    <t>Info for the graphics</t>
  </si>
  <si>
    <t>Preparation grid</t>
  </si>
  <si>
    <t>Pending sub-criteria</t>
  </si>
  <si>
    <t>Sub criteria</t>
  </si>
  <si>
    <t>Dimension/Assessment criterion/Sub-criterion</t>
  </si>
  <si>
    <t>There is budget for investments</t>
  </si>
  <si>
    <t>Relative importance</t>
  </si>
  <si>
    <t>Abandoned products Techn</t>
  </si>
  <si>
    <t>Openness</t>
  </si>
  <si>
    <t>The company has legacy reusable code that it would like to refactor into a more maintainable form</t>
  </si>
  <si>
    <t>The organization retains its current customers due to the variability among their products</t>
  </si>
  <si>
    <t>It becomes unprofitable to derive new products, or update existing ones with the current production infraestructure</t>
  </si>
  <si>
    <t>Difficulties to derive new products profitably</t>
  </si>
  <si>
    <t>Outdated technology that the product relies on will cause it to be abandonned</t>
  </si>
  <si>
    <t xml:space="preserve">Organization is among the market leaders </t>
  </si>
  <si>
    <t>Individuals in the organization are open to change how they interact with colleagues and other departments</t>
  </si>
  <si>
    <t>Architectures of different products are modeled and aligned</t>
  </si>
  <si>
    <t>Proprietray tools used to develop the current products are not a barrier to adopt a product line approach</t>
  </si>
  <si>
    <t>Nombre de la compañía</t>
  </si>
  <si>
    <t>Unclear</t>
  </si>
  <si>
    <t>Low prepared</t>
  </si>
  <si>
    <t>Well prepared</t>
  </si>
  <si>
    <t>Importance by dimension</t>
  </si>
  <si>
    <t>Score by dimension</t>
  </si>
  <si>
    <t>Overal score</t>
  </si>
  <si>
    <t>Organizational support</t>
  </si>
  <si>
    <t>Need more details</t>
  </si>
  <si>
    <t>Unclear statements</t>
  </si>
  <si>
    <t>Managers will support the initiative for exploring a product line solution</t>
  </si>
  <si>
    <t>The product line project would have a project leader with authority to take decisions and support the idea of change</t>
  </si>
  <si>
    <t>Organization has theoretical knowledge and experience in the potential domain</t>
  </si>
  <si>
    <t xml:space="preserve">It is foreseeable a future market for the products that will be developed under the scope of the product line. </t>
  </si>
  <si>
    <t>If needed,  individuals are open to change their current practices</t>
  </si>
  <si>
    <t>If necesary the organization is willing to do internal changes  such as modifiy the organizational structure</t>
  </si>
  <si>
    <t>Preparation score</t>
  </si>
  <si>
    <t>The organization has a high preparation for adopting a software product line approach. The change effort is likely to be successful as long as organizational leaders and employees stay aligned and receptive to the idea of adopting a product line approach.</t>
  </si>
  <si>
    <r>
      <t xml:space="preserve">The organization is probably </t>
    </r>
    <r>
      <rPr>
        <b/>
        <sz val="11"/>
        <color rgb="FFFF0000"/>
        <rFont val="Calibri"/>
        <family val="2"/>
        <scheme val="minor"/>
      </rPr>
      <t>not prepared</t>
    </r>
    <r>
      <rPr>
        <sz val="11"/>
        <color theme="1"/>
        <rFont val="Calibri"/>
        <family val="2"/>
        <scheme val="minor"/>
      </rPr>
      <t xml:space="preserve"> for adopting a product line approach, and the </t>
    </r>
    <r>
      <rPr>
        <b/>
        <sz val="11"/>
        <color rgb="FFFF0000"/>
        <rFont val="Calibri"/>
        <family val="2"/>
        <scheme val="minor"/>
      </rPr>
      <t>change effort is likely to fail</t>
    </r>
    <r>
      <rPr>
        <sz val="11"/>
        <color theme="1"/>
        <rFont val="Calibri"/>
        <family val="2"/>
        <scheme val="minor"/>
      </rPr>
      <t xml:space="preserve">. Examine the lowest scoring assessment criteria to identify specific areas where your organization may be least ready for the change. </t>
    </r>
  </si>
  <si>
    <t>Our recomendation</t>
  </si>
  <si>
    <t>Score by dimensions</t>
  </si>
  <si>
    <t xml:space="preserve">The organization has a moderate preparation for adopting a software product line approach. The change effort is likely to be successful only through a careful implementation and attention to the issues identified in the lower-scoring assessment criteria. </t>
  </si>
  <si>
    <t>Criterion</t>
  </si>
  <si>
    <t>Partially prepared</t>
  </si>
  <si>
    <t>Overall preparation result</t>
  </si>
  <si>
    <r>
      <t xml:space="preserve">Criteria with </t>
    </r>
    <r>
      <rPr>
        <b/>
        <sz val="11"/>
        <color rgb="FFFF0000"/>
        <rFont val="Calibri"/>
        <family val="2"/>
        <scheme val="minor"/>
      </rPr>
      <t>LOW</t>
    </r>
    <r>
      <rPr>
        <sz val="11"/>
        <color theme="1"/>
        <rFont val="Calibri"/>
        <family val="2"/>
        <scheme val="minor"/>
      </rPr>
      <t xml:space="preserve"> performance ( &lt; 3)</t>
    </r>
  </si>
  <si>
    <r>
      <t xml:space="preserve">Criteria with  </t>
    </r>
    <r>
      <rPr>
        <b/>
        <sz val="11"/>
        <color theme="7" tint="-0.249977111117893"/>
        <rFont val="Calibri"/>
        <family val="2"/>
        <scheme val="minor"/>
      </rPr>
      <t>MEDIUM</t>
    </r>
    <r>
      <rPr>
        <sz val="11"/>
        <color theme="1"/>
        <rFont val="Calibri"/>
        <family val="2"/>
        <scheme val="minor"/>
      </rPr>
      <t xml:space="preserve"> performance( &gt;=3 and &lt; 4 )</t>
    </r>
  </si>
  <si>
    <r>
      <t xml:space="preserve">Criteria with </t>
    </r>
    <r>
      <rPr>
        <b/>
        <sz val="11"/>
        <color rgb="FF00B050"/>
        <rFont val="Calibri"/>
        <family val="2"/>
        <scheme val="minor"/>
      </rPr>
      <t>HIGH</t>
    </r>
    <r>
      <rPr>
        <sz val="11"/>
        <color theme="1"/>
        <rFont val="Calibri"/>
        <family val="2"/>
        <scheme val="minor"/>
      </rPr>
      <t xml:space="preserve"> performance ( &gt;=5 )</t>
    </r>
  </si>
  <si>
    <t>Summary</t>
  </si>
  <si>
    <t>Engineers have enough expertise to decide what is common or variable in the area where the product line might be implemented</t>
  </si>
  <si>
    <t>The organization has the know-how to capture the requirements that the product line will cover</t>
  </si>
  <si>
    <t>The organization has sucessful products in the area where they want to adopt a product line approach</t>
  </si>
  <si>
    <t>The company has access to experts in the area in which the product line approach might be implemented</t>
  </si>
  <si>
    <t>The individuals would be willing  to try new techniques, tools or ways to do things"</t>
  </si>
  <si>
    <t>The organization develops more than one product that shares functionalities and could be integrated into the product line</t>
  </si>
  <si>
    <t>There is potential to create at least three different products that share common functionalities</t>
  </si>
  <si>
    <t>The company defined, specified and, optionally, optimized its processes using any systematic approach. e.g CMMI</t>
  </si>
  <si>
    <t>There is explicit documentation which is up-to-date and available for being reviewed</t>
  </si>
  <si>
    <t>If needed, the organization would provide the infrastructure, training, and materials that  require a software product line approach</t>
  </si>
  <si>
    <t>Potential products have common non functional requirements</t>
  </si>
  <si>
    <t>Potential products have differentiating features</t>
  </si>
  <si>
    <t>The company has established reuse processes for providing or consuming external assets</t>
  </si>
  <si>
    <t>The current organizational structure allows developing reusable assets</t>
  </si>
  <si>
    <t>Staff members are considering possible future use when they develop software artifacts</t>
  </si>
  <si>
    <t>Technical staff is willing to develop new software based on reusable components rather than build it from scratch.</t>
  </si>
  <si>
    <t>There is low coupling between existing sotware artifacts</t>
  </si>
  <si>
    <t>There is high cohesion between existing sotware artifacts</t>
  </si>
  <si>
    <t>There is an explicit organization vocabulary shared by the staff about  terms related with the area where a product line approach is interesting</t>
  </si>
  <si>
    <t>Assets which might be incorporated into the product line, are reliable  to use</t>
  </si>
  <si>
    <t>There are technical or business artifacts that might be reused</t>
  </si>
  <si>
    <t>The company follows industry standards</t>
  </si>
  <si>
    <t>There is technology compatibility among the products that could be incorporated into the product line</t>
  </si>
  <si>
    <t>There are established developer roles, such as software architects, testers, developers</t>
  </si>
  <si>
    <t xml:space="preserve">Common products have graphical unintended style differences </t>
  </si>
  <si>
    <t>Problem: unclear, redundat, needs more details</t>
  </si>
  <si>
    <t>Explanation</t>
  </si>
  <si>
    <t>Totally</t>
  </si>
  <si>
    <t>Mostly</t>
  </si>
  <si>
    <t>Somewhat</t>
  </si>
  <si>
    <t>Almost totally</t>
  </si>
  <si>
    <t>Just a little</t>
  </si>
  <si>
    <t>N/A</t>
  </si>
  <si>
    <t>Not at all</t>
  </si>
  <si>
    <t>The organization staff is willing to learn about product line engineering practices and methods.</t>
  </si>
  <si>
    <t>If needed it, the enterprise is willing to pay costs for modifying the organizational process</t>
  </si>
  <si>
    <t>The company will allocate employees' time dedicated to product line adoption</t>
  </si>
  <si>
    <t xml:space="preserve">The enterprise is willing to pay the costs of elaborating the product line. Those costs are due to activities such as performing the commonality/variability analysis, defining what products will constitute the product line, designing and evaluating a generic software architecture, designing and developing reusable artifacts, building a production plan, use the reusable artifacts to create the products, etc. </t>
  </si>
  <si>
    <t>Carácter no aplica</t>
  </si>
  <si>
    <t>Don't know</t>
  </si>
  <si>
    <t>APPLIES- Preparation resulting charts</t>
  </si>
  <si>
    <t>#importance final</t>
  </si>
  <si>
    <t>Criteria with N/A</t>
  </si>
  <si>
    <t>Máx. de Score2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</si>
</sst>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9" x14ac:knownFonts="1">
    <font>
      <sz val="11"/>
      <color theme="1"/>
      <name val="Calibri"/>
      <family val="2"/>
      <scheme val="minor"/>
    </font>
    <font>
      <b/>
      <sz val="11"/>
      <color theme="1"/>
      <name val="Calibri"/>
      <family val="2"/>
      <scheme val="minor"/>
    </font>
    <font>
      <sz val="16"/>
      <color theme="1"/>
      <name val="Calibri"/>
      <family val="2"/>
      <scheme val="minor"/>
    </font>
    <font>
      <sz val="11"/>
      <name val="Calibri"/>
      <family val="2"/>
      <scheme val="minor"/>
    </font>
    <font>
      <b/>
      <i/>
      <sz val="14"/>
      <color theme="8" tint="-0.249977111117893"/>
      <name val="Calibri"/>
      <family val="2"/>
      <scheme val="minor"/>
    </font>
    <font>
      <b/>
      <i/>
      <sz val="12"/>
      <color theme="8" tint="-0.249977111117893"/>
      <name val="Calibri"/>
      <family val="2"/>
      <scheme val="minor"/>
    </font>
    <font>
      <sz val="11"/>
      <color theme="8" tint="-0.249977111117893"/>
      <name val="Calibri"/>
      <family val="2"/>
      <scheme val="minor"/>
    </font>
    <font>
      <sz val="12"/>
      <color theme="1"/>
      <name val="Calibri"/>
      <family val="2"/>
      <scheme val="minor"/>
    </font>
    <font>
      <b/>
      <sz val="12"/>
      <color theme="9" tint="-0.249977111117893"/>
      <name val="Arial Unicode MS"/>
      <family val="2"/>
    </font>
    <font>
      <b/>
      <sz val="14"/>
      <color theme="0"/>
      <name val="Calibri"/>
      <family val="2"/>
      <scheme val="minor"/>
    </font>
    <font>
      <b/>
      <sz val="16"/>
      <color theme="0"/>
      <name val="Calibri"/>
      <family val="2"/>
      <scheme val="minor"/>
    </font>
    <font>
      <b/>
      <sz val="12"/>
      <color theme="0"/>
      <name val="Calibri"/>
      <family val="2"/>
      <scheme val="minor"/>
    </font>
    <font>
      <b/>
      <sz val="12"/>
      <name val="Calibri"/>
      <family val="2"/>
      <scheme val="minor"/>
    </font>
    <font>
      <b/>
      <sz val="10"/>
      <color theme="1"/>
      <name val="Calibri"/>
      <family val="2"/>
      <scheme val="minor"/>
    </font>
    <font>
      <b/>
      <sz val="12"/>
      <color theme="1"/>
      <name val="Calibri"/>
      <family val="2"/>
      <scheme val="minor"/>
    </font>
    <font>
      <u/>
      <sz val="12"/>
      <color theme="1"/>
      <name val="Calibri"/>
      <family val="2"/>
      <scheme val="minor"/>
    </font>
    <font>
      <b/>
      <u/>
      <sz val="12"/>
      <color theme="1"/>
      <name val="Calibri"/>
      <family val="2"/>
      <scheme val="minor"/>
    </font>
    <font>
      <b/>
      <i/>
      <sz val="12"/>
      <color theme="8" tint="-0.499984740745262"/>
      <name val="Calibri"/>
      <family val="2"/>
      <scheme val="minor"/>
    </font>
    <font>
      <b/>
      <i/>
      <u/>
      <sz val="12"/>
      <color theme="8" tint="-0.499984740745262"/>
      <name val="Calibri"/>
      <family val="2"/>
      <scheme val="minor"/>
    </font>
    <font>
      <u/>
      <sz val="11"/>
      <color theme="8" tint="-0.499984740745262"/>
      <name val="Calibri"/>
      <family val="2"/>
      <scheme val="minor"/>
    </font>
    <font>
      <u/>
      <sz val="14"/>
      <color theme="8" tint="-0.499984740745262"/>
      <name val="Calibri"/>
      <family val="2"/>
      <scheme val="minor"/>
    </font>
    <font>
      <b/>
      <sz val="18"/>
      <color theme="0"/>
      <name val="Calibri"/>
      <family val="2"/>
      <scheme val="minor"/>
    </font>
    <font>
      <b/>
      <i/>
      <sz val="12"/>
      <color theme="4"/>
      <name val="Calibri"/>
      <family val="2"/>
      <scheme val="minor"/>
    </font>
    <font>
      <b/>
      <sz val="10"/>
      <color theme="9" tint="-0.249977111117893"/>
      <name val="Arial Unicode MS"/>
      <family val="2"/>
    </font>
    <font>
      <u/>
      <sz val="12"/>
      <color theme="8" tint="-0.499984740745262"/>
      <name val="Calibri"/>
      <family val="2"/>
      <scheme val="minor"/>
    </font>
    <font>
      <sz val="11"/>
      <color theme="0"/>
      <name val="Calibri"/>
      <family val="2"/>
      <scheme val="minor"/>
    </font>
    <font>
      <sz val="11"/>
      <color theme="1"/>
      <name val="Calibri"/>
      <family val="2"/>
      <scheme val="minor"/>
    </font>
    <font>
      <sz val="11"/>
      <color rgb="FFFF0000"/>
      <name val="Calibri"/>
      <family val="2"/>
      <scheme val="minor"/>
    </font>
    <font>
      <sz val="18"/>
      <color theme="1"/>
      <name val="Calibri"/>
      <family val="2"/>
      <scheme val="minor"/>
    </font>
    <font>
      <u/>
      <sz val="14"/>
      <color theme="1"/>
      <name val="Calibri"/>
      <family val="2"/>
      <scheme val="minor"/>
    </font>
    <font>
      <b/>
      <sz val="20"/>
      <color theme="9" tint="-0.249977111117893"/>
      <name val="Arial Unicode MS"/>
      <family val="2"/>
    </font>
    <font>
      <b/>
      <sz val="20"/>
      <color theme="9" tint="-0.249977111117893"/>
      <name val="Calibri"/>
      <family val="2"/>
      <scheme val="minor"/>
    </font>
    <font>
      <b/>
      <i/>
      <sz val="16"/>
      <color theme="8" tint="-0.249977111117893"/>
      <name val="Calibri"/>
      <family val="2"/>
      <scheme val="minor"/>
    </font>
    <font>
      <sz val="12"/>
      <name val="Calibri"/>
      <family val="2"/>
      <scheme val="minor"/>
    </font>
    <font>
      <b/>
      <sz val="12"/>
      <color theme="4" tint="-0.249977111117893"/>
      <name val="Calibri"/>
      <family val="2"/>
      <scheme val="minor"/>
    </font>
    <font>
      <b/>
      <i/>
      <sz val="14"/>
      <color theme="0"/>
      <name val="Calibri"/>
      <family val="2"/>
      <scheme val="minor"/>
    </font>
    <font>
      <b/>
      <sz val="18"/>
      <color theme="1"/>
      <name val="Calibri"/>
      <family val="2"/>
      <scheme val="minor"/>
    </font>
    <font>
      <b/>
      <sz val="22"/>
      <color theme="2" tint="-0.749992370372631"/>
      <name val="Calibri"/>
      <family val="2"/>
      <scheme val="minor"/>
    </font>
    <font>
      <b/>
      <sz val="12"/>
      <color rgb="FF4E607A"/>
      <name val="Calibri"/>
      <family val="2"/>
      <scheme val="minor"/>
    </font>
    <font>
      <b/>
      <sz val="16"/>
      <color theme="1"/>
      <name val="Calibri"/>
      <family val="2"/>
      <scheme val="minor"/>
    </font>
    <font>
      <b/>
      <i/>
      <sz val="12"/>
      <name val="Calibri"/>
      <family val="2"/>
      <scheme val="minor"/>
    </font>
    <font>
      <b/>
      <i/>
      <sz val="9"/>
      <color theme="8" tint="-0.249977111117893"/>
      <name val="Calibri"/>
      <family val="2"/>
      <scheme val="minor"/>
    </font>
    <font>
      <b/>
      <i/>
      <u/>
      <sz val="10"/>
      <color theme="8" tint="-0.499984740745262"/>
      <name val="Calibri"/>
      <family val="2"/>
      <scheme val="minor"/>
    </font>
    <font>
      <sz val="11"/>
      <color theme="9" tint="-0.249977111117893"/>
      <name val="Calibri"/>
      <family val="2"/>
      <scheme val="minor"/>
    </font>
    <font>
      <b/>
      <sz val="11"/>
      <color theme="0"/>
      <name val="Calibri"/>
      <family val="2"/>
      <scheme val="minor"/>
    </font>
    <font>
      <b/>
      <sz val="22"/>
      <color theme="1"/>
      <name val="Calibri"/>
      <family val="2"/>
      <scheme val="minor"/>
    </font>
    <font>
      <b/>
      <i/>
      <sz val="8"/>
      <color theme="8" tint="-0.249977111117893"/>
      <name val="Calibri"/>
      <family val="2"/>
      <scheme val="minor"/>
    </font>
    <font>
      <sz val="14"/>
      <color theme="1"/>
      <name val="Calibri"/>
      <family val="2"/>
      <scheme val="minor"/>
    </font>
    <font>
      <b/>
      <i/>
      <sz val="12"/>
      <color theme="0"/>
      <name val="Calibri"/>
      <family val="2"/>
      <scheme val="minor"/>
    </font>
    <font>
      <sz val="11"/>
      <color rgb="FF000000"/>
      <name val="Calibri"/>
      <family val="2"/>
    </font>
    <font>
      <b/>
      <sz val="18"/>
      <color rgb="FF4E607A"/>
      <name val="Calibri"/>
      <family val="2"/>
      <scheme val="minor"/>
    </font>
    <font>
      <b/>
      <sz val="20"/>
      <color rgb="FF4E607A"/>
      <name val="Calibri"/>
      <family val="2"/>
      <scheme val="minor"/>
    </font>
    <font>
      <b/>
      <sz val="11"/>
      <color theme="5" tint="0.79998168889431442"/>
      <name val="Calibri"/>
      <family val="2"/>
      <scheme val="minor"/>
    </font>
    <font>
      <b/>
      <sz val="14"/>
      <color theme="1"/>
      <name val="Calibri"/>
      <family val="2"/>
      <scheme val="minor"/>
    </font>
    <font>
      <sz val="11"/>
      <color theme="0" tint="-4.9989318521683403E-2"/>
      <name val="Calibri"/>
      <family val="2"/>
      <scheme val="minor"/>
    </font>
    <font>
      <b/>
      <sz val="16"/>
      <color theme="0" tint="-4.9989318521683403E-2"/>
      <name val="Calibri"/>
      <family val="2"/>
      <scheme val="minor"/>
    </font>
    <font>
      <b/>
      <sz val="11"/>
      <color theme="0" tint="-4.9989318521683403E-2"/>
      <name val="Calibri"/>
      <family val="2"/>
      <scheme val="minor"/>
    </font>
    <font>
      <b/>
      <sz val="20"/>
      <color rgb="FF3366FF"/>
      <name val="Calibri"/>
      <family val="2"/>
      <scheme val="minor"/>
    </font>
    <font>
      <sz val="48"/>
      <color theme="1"/>
      <name val="Calibri"/>
      <family val="2"/>
      <scheme val="minor"/>
    </font>
    <font>
      <b/>
      <sz val="11"/>
      <color rgb="FFFF0000"/>
      <name val="Calibri"/>
      <family val="2"/>
      <scheme val="minor"/>
    </font>
    <font>
      <b/>
      <sz val="18"/>
      <color rgb="FF3366FF"/>
      <name val="Calibri"/>
      <family val="2"/>
      <scheme val="minor"/>
    </font>
    <font>
      <b/>
      <sz val="16"/>
      <color rgb="FFFF0000"/>
      <name val="Calibri"/>
      <family val="2"/>
      <scheme val="minor"/>
    </font>
    <font>
      <b/>
      <sz val="18"/>
      <color rgb="FF7030A0"/>
      <name val="Calibri"/>
      <family val="2"/>
      <scheme val="minor"/>
    </font>
    <font>
      <b/>
      <sz val="22"/>
      <color theme="4"/>
      <name val="Calibri"/>
      <family val="2"/>
      <scheme val="minor"/>
    </font>
    <font>
      <b/>
      <sz val="11"/>
      <color theme="7" tint="-0.249977111117893"/>
      <name val="Calibri"/>
      <family val="2"/>
      <scheme val="minor"/>
    </font>
    <font>
      <b/>
      <sz val="11"/>
      <color rgb="FF00B050"/>
      <name val="Calibri"/>
      <family val="2"/>
      <scheme val="minor"/>
    </font>
    <font>
      <b/>
      <sz val="10"/>
      <color theme="0"/>
      <name val="Calibri"/>
      <family val="2"/>
      <scheme val="minor"/>
    </font>
    <font>
      <b/>
      <sz val="9"/>
      <color theme="0"/>
      <name val="Calibri"/>
      <family val="2"/>
      <scheme val="minor"/>
    </font>
    <font>
      <b/>
      <i/>
      <sz val="11"/>
      <color theme="8" tint="-0.249977111117893"/>
      <name val="Calibri"/>
      <family val="2"/>
      <scheme val="minor"/>
    </font>
  </fonts>
  <fills count="2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BE9FB"/>
        <bgColor indexed="64"/>
      </patternFill>
    </fill>
    <fill>
      <patternFill patternType="solid">
        <fgColor theme="9" tint="-0.249977111117893"/>
        <bgColor indexed="64"/>
      </patternFill>
    </fill>
    <fill>
      <patternFill patternType="solid">
        <fgColor theme="8" tint="0.59999389629810485"/>
        <bgColor indexed="64"/>
      </patternFill>
    </fill>
    <fill>
      <patternFill patternType="solid">
        <fgColor rgb="FF096C75"/>
        <bgColor indexed="64"/>
      </patternFill>
    </fill>
    <fill>
      <patternFill patternType="solid">
        <fgColor rgb="FF4E607A"/>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8F9FB7"/>
        <bgColor indexed="64"/>
      </patternFill>
    </fill>
    <fill>
      <patternFill patternType="solid">
        <fgColor rgb="FFB8B8D1"/>
        <bgColor indexed="64"/>
      </patternFill>
    </fill>
    <fill>
      <patternFill patternType="solid">
        <fgColor rgb="FFDDF7D9"/>
        <bgColor indexed="64"/>
      </patternFill>
    </fill>
    <fill>
      <patternFill patternType="solid">
        <fgColor rgb="FF0C8A96"/>
        <bgColor indexed="64"/>
      </patternFill>
    </fill>
    <fill>
      <patternFill patternType="solid">
        <fgColor rgb="FFD7D9D7"/>
        <bgColor indexed="64"/>
      </patternFill>
    </fill>
    <fill>
      <patternFill patternType="solid">
        <fgColor rgb="FF084C61"/>
        <bgColor indexed="64"/>
      </patternFill>
    </fill>
    <fill>
      <patternFill patternType="solid">
        <fgColor rgb="FFDCE1E8"/>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34998626667073579"/>
        <bgColor indexed="64"/>
      </patternFill>
    </fill>
  </fills>
  <borders count="73">
    <border>
      <left/>
      <right/>
      <top/>
      <bottom/>
      <diagonal/>
    </border>
    <border>
      <left style="medium">
        <color theme="1"/>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indexed="64"/>
      </top>
      <bottom/>
      <diagonal/>
    </border>
    <border>
      <left/>
      <right/>
      <top style="thin">
        <color theme="0" tint="-0.34998626667073579"/>
      </top>
      <bottom style="thin">
        <color theme="0" tint="-0.34998626667073579"/>
      </bottom>
      <diagonal/>
    </border>
    <border>
      <left/>
      <right style="thin">
        <color theme="1"/>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1"/>
      </right>
      <top style="thin">
        <color theme="0"/>
      </top>
      <bottom style="thin">
        <color theme="0"/>
      </bottom>
      <diagonal/>
    </border>
    <border>
      <left style="thin">
        <color theme="1"/>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diagonal/>
    </border>
    <border>
      <left/>
      <right style="thin">
        <color theme="0"/>
      </right>
      <top/>
      <bottom style="thin">
        <color theme="0"/>
      </bottom>
      <diagonal/>
    </border>
    <border>
      <left/>
      <right/>
      <top style="thin">
        <color theme="0"/>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0"/>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1"/>
      </left>
      <right/>
      <top style="thin">
        <color theme="0"/>
      </top>
      <bottom/>
      <diagonal/>
    </border>
    <border>
      <left style="medium">
        <color theme="1"/>
      </left>
      <right/>
      <top/>
      <bottom/>
      <diagonal/>
    </border>
    <border>
      <left style="medium">
        <color rgb="FF4E607A"/>
      </left>
      <right/>
      <top style="medium">
        <color rgb="FF4E607A"/>
      </top>
      <bottom/>
      <diagonal/>
    </border>
    <border>
      <left/>
      <right/>
      <top style="medium">
        <color rgb="FF4E607A"/>
      </top>
      <bottom/>
      <diagonal/>
    </border>
    <border>
      <left/>
      <right style="medium">
        <color rgb="FF4E607A"/>
      </right>
      <top style="medium">
        <color rgb="FF4E607A"/>
      </top>
      <bottom/>
      <diagonal/>
    </border>
    <border>
      <left style="medium">
        <color rgb="FF4E607A"/>
      </left>
      <right/>
      <top style="medium">
        <color indexed="64"/>
      </top>
      <bottom style="thin">
        <color theme="0"/>
      </bottom>
      <diagonal/>
    </border>
    <border>
      <left style="medium">
        <color rgb="FF4E607A"/>
      </left>
      <right/>
      <top style="thin">
        <color theme="0"/>
      </top>
      <bottom style="thin">
        <color theme="0"/>
      </bottom>
      <diagonal/>
    </border>
    <border>
      <left/>
      <right style="medium">
        <color rgb="FF4E607A"/>
      </right>
      <top/>
      <bottom/>
      <diagonal/>
    </border>
    <border>
      <left style="medium">
        <color rgb="FF4E607A"/>
      </left>
      <right/>
      <top style="thin">
        <color theme="0"/>
      </top>
      <bottom/>
      <diagonal/>
    </border>
    <border>
      <left style="medium">
        <color rgb="FF4E607A"/>
      </left>
      <right/>
      <top/>
      <bottom/>
      <diagonal/>
    </border>
    <border>
      <left style="medium">
        <color rgb="FF4E607A"/>
      </left>
      <right/>
      <top style="thin">
        <color theme="0"/>
      </top>
      <bottom style="medium">
        <color rgb="FF4E607A"/>
      </bottom>
      <diagonal/>
    </border>
    <border>
      <left style="medium">
        <color theme="1"/>
      </left>
      <right/>
      <top style="thin">
        <color theme="0"/>
      </top>
      <bottom style="medium">
        <color rgb="FF4E607A"/>
      </bottom>
      <diagonal/>
    </border>
    <border>
      <left/>
      <right/>
      <top/>
      <bottom style="medium">
        <color rgb="FF4E607A"/>
      </bottom>
      <diagonal/>
    </border>
    <border>
      <left/>
      <right style="medium">
        <color rgb="FF4E607A"/>
      </right>
      <top/>
      <bottom style="medium">
        <color rgb="FF4E607A"/>
      </bottom>
      <diagonal/>
    </border>
    <border>
      <left style="medium">
        <color theme="1"/>
      </left>
      <right/>
      <top/>
      <bottom style="thin">
        <color theme="0"/>
      </bottom>
      <diagonal/>
    </border>
    <border>
      <left style="medium">
        <color rgb="FF4E607A"/>
      </left>
      <right/>
      <top style="medium">
        <color rgb="FF4E607A"/>
      </top>
      <bottom style="medium">
        <color rgb="FF4E607A"/>
      </bottom>
      <diagonal/>
    </border>
    <border>
      <left/>
      <right/>
      <top style="medium">
        <color rgb="FF4E607A"/>
      </top>
      <bottom style="medium">
        <color rgb="FF4E607A"/>
      </bottom>
      <diagonal/>
    </border>
    <border>
      <left style="thin">
        <color theme="0"/>
      </left>
      <right style="medium">
        <color rgb="FF4E607A"/>
      </right>
      <top style="medium">
        <color rgb="FF4E607A"/>
      </top>
      <bottom style="medium">
        <color rgb="FF4E607A"/>
      </bottom>
      <diagonal/>
    </border>
    <border>
      <left style="medium">
        <color theme="1" tint="4.9989318521683403E-2"/>
      </left>
      <right/>
      <top style="medium">
        <color theme="1" tint="4.9989318521683403E-2"/>
      </top>
      <bottom/>
      <diagonal/>
    </border>
    <border>
      <left/>
      <right/>
      <top style="medium">
        <color theme="1" tint="4.9989318521683403E-2"/>
      </top>
      <bottom/>
      <diagonal/>
    </border>
    <border>
      <left/>
      <right style="medium">
        <color theme="1" tint="4.9989318521683403E-2"/>
      </right>
      <top style="medium">
        <color theme="1" tint="4.9989318521683403E-2"/>
      </top>
      <bottom/>
      <diagonal/>
    </border>
    <border>
      <left style="medium">
        <color theme="1" tint="4.9989318521683403E-2"/>
      </left>
      <right/>
      <top/>
      <bottom/>
      <diagonal/>
    </border>
    <border>
      <left/>
      <right style="medium">
        <color theme="1" tint="4.9989318521683403E-2"/>
      </right>
      <top/>
      <bottom/>
      <diagonal/>
    </border>
    <border>
      <left style="medium">
        <color theme="1" tint="4.9989318521683403E-2"/>
      </left>
      <right/>
      <top/>
      <bottom style="medium">
        <color theme="1" tint="4.9989318521683403E-2"/>
      </bottom>
      <diagonal/>
    </border>
    <border>
      <left/>
      <right/>
      <top/>
      <bottom style="medium">
        <color theme="1" tint="4.9989318521683403E-2"/>
      </bottom>
      <diagonal/>
    </border>
    <border>
      <left/>
      <right style="medium">
        <color theme="1" tint="4.9989318521683403E-2"/>
      </right>
      <top/>
      <bottom style="medium">
        <color theme="1" tint="4.9989318521683403E-2"/>
      </bottom>
      <diagonal/>
    </border>
    <border>
      <left style="medium">
        <color indexed="64"/>
      </left>
      <right/>
      <top/>
      <bottom style="medium">
        <color indexed="64"/>
      </bottom>
      <diagonal/>
    </border>
    <border>
      <left style="medium">
        <color indexed="64"/>
      </left>
      <right/>
      <top style="thin">
        <color theme="0"/>
      </top>
      <bottom style="thin">
        <color theme="0"/>
      </bottom>
      <diagonal/>
    </border>
    <border>
      <left style="medium">
        <color indexed="64"/>
      </left>
      <right/>
      <top style="thin">
        <color theme="0"/>
      </top>
      <bottom/>
      <diagonal/>
    </border>
    <border>
      <left style="medium">
        <color indexed="64"/>
      </left>
      <right/>
      <top/>
      <bottom style="thin">
        <color theme="0"/>
      </bottom>
      <diagonal/>
    </border>
    <border>
      <left style="medium">
        <color indexed="64"/>
      </left>
      <right/>
      <top style="thin">
        <color theme="0"/>
      </top>
      <bottom style="medium">
        <color indexed="64"/>
      </bottom>
      <diagonal/>
    </border>
    <border>
      <left style="medium">
        <color rgb="FF4E607A"/>
      </left>
      <right/>
      <top/>
      <bottom style="thin">
        <color theme="0"/>
      </bottom>
      <diagonal/>
    </border>
    <border>
      <left style="medium">
        <color indexed="64"/>
      </left>
      <right/>
      <top style="medium">
        <color theme="0"/>
      </top>
      <bottom style="medium">
        <color auto="1"/>
      </bottom>
      <diagonal/>
    </border>
    <border>
      <left/>
      <right/>
      <top style="medium">
        <color theme="0"/>
      </top>
      <bottom style="medium">
        <color auto="1"/>
      </bottom>
      <diagonal/>
    </border>
    <border>
      <left/>
      <right/>
      <top/>
      <bottom style="thin">
        <color theme="0"/>
      </bottom>
      <diagonal/>
    </border>
    <border>
      <left style="medium">
        <color indexed="64"/>
      </left>
      <right/>
      <top/>
      <bottom style="medium">
        <color theme="0"/>
      </bottom>
      <diagonal/>
    </border>
    <border>
      <left/>
      <right style="medium">
        <color auto="1"/>
      </right>
      <top/>
      <bottom style="thin">
        <color theme="0" tint="-0.34998626667073579"/>
      </bottom>
      <diagonal/>
    </border>
    <border>
      <left style="medium">
        <color indexed="64"/>
      </left>
      <right/>
      <top style="medium">
        <color indexed="64"/>
      </top>
      <bottom style="thin">
        <color rgb="FF4E607A"/>
      </bottom>
      <diagonal/>
    </border>
    <border>
      <left/>
      <right/>
      <top style="medium">
        <color indexed="64"/>
      </top>
      <bottom style="thin">
        <color rgb="FF4E607A"/>
      </bottom>
      <diagonal/>
    </border>
    <border>
      <left style="thin">
        <color theme="0"/>
      </left>
      <right style="medium">
        <color indexed="64"/>
      </right>
      <top style="medium">
        <color indexed="64"/>
      </top>
      <bottom style="thin">
        <color rgb="FF4E607A"/>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rgb="FF4E607A"/>
      </bottom>
      <diagonal/>
    </border>
    <border>
      <left style="thin">
        <color theme="0"/>
      </left>
      <right/>
      <top/>
      <bottom style="thin">
        <color theme="0"/>
      </bottom>
      <diagonal/>
    </border>
    <border>
      <left style="thin">
        <color theme="0"/>
      </left>
      <right/>
      <top/>
      <bottom/>
      <diagonal/>
    </border>
    <border>
      <left/>
      <right/>
      <top/>
      <bottom style="thin">
        <color rgb="FF4E607A"/>
      </bottom>
      <diagonal/>
    </border>
    <border>
      <left style="medium">
        <color theme="1" tint="0.14996795556505021"/>
      </left>
      <right/>
      <top/>
      <bottom/>
      <diagonal/>
    </border>
    <border>
      <left style="medium">
        <color theme="1" tint="0.14996795556505021"/>
      </left>
      <right/>
      <top/>
      <bottom style="thin">
        <color rgb="FF4E607A"/>
      </bottom>
      <diagonal/>
    </border>
    <border>
      <left style="medium">
        <color theme="1" tint="0.14996795556505021"/>
      </left>
      <right style="thin">
        <color theme="0"/>
      </right>
      <top style="thin">
        <color theme="0"/>
      </top>
      <bottom style="thin">
        <color theme="0"/>
      </bottom>
      <diagonal/>
    </border>
    <border>
      <left style="medium">
        <color theme="1" tint="0.14996795556505021"/>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1"/>
      </right>
      <top style="thin">
        <color theme="0"/>
      </top>
      <bottom/>
      <diagonal/>
    </border>
  </borders>
  <cellStyleXfs count="2">
    <xf numFmtId="0" fontId="0" fillId="0" borderId="0"/>
    <xf numFmtId="9" fontId="26" fillId="0" borderId="0" applyFont="0" applyFill="0" applyBorder="0" applyAlignment="0" applyProtection="0"/>
  </cellStyleXfs>
  <cellXfs count="377">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0" fillId="3" borderId="0" xfId="0" applyFill="1"/>
    <xf numFmtId="0" fontId="0" fillId="0" borderId="0" xfId="0" applyFont="1" applyFill="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0" fontId="0" fillId="9" borderId="0" xfId="0" applyFill="1"/>
    <xf numFmtId="2" fontId="0" fillId="0" borderId="0" xfId="0" applyNumberFormat="1"/>
    <xf numFmtId="0" fontId="27" fillId="0" borderId="0" xfId="0" applyFont="1"/>
    <xf numFmtId="0" fontId="1" fillId="0" borderId="0" xfId="0" applyFont="1"/>
    <xf numFmtId="0" fontId="0" fillId="0" borderId="0" xfId="0" applyAlignment="1">
      <alignment horizontal="center"/>
    </xf>
    <xf numFmtId="0" fontId="0" fillId="0" borderId="0" xfId="0" applyAlignment="1">
      <alignment horizontal="center" wrapText="1"/>
    </xf>
    <xf numFmtId="0" fontId="0" fillId="0" borderId="0" xfId="0" applyAlignment="1">
      <alignment vertical="center" wrapText="1"/>
    </xf>
    <xf numFmtId="0" fontId="0" fillId="9" borderId="0" xfId="0" applyFill="1" applyAlignment="1">
      <alignment horizontal="center" wrapText="1"/>
    </xf>
    <xf numFmtId="2" fontId="0" fillId="9" borderId="0" xfId="0" applyNumberFormat="1" applyFill="1" applyAlignment="1">
      <alignment wrapText="1"/>
    </xf>
    <xf numFmtId="2" fontId="0" fillId="9" borderId="0" xfId="0" applyNumberFormat="1" applyFill="1"/>
    <xf numFmtId="0" fontId="0" fillId="0" borderId="0" xfId="0" applyFont="1"/>
    <xf numFmtId="0" fontId="1" fillId="0" borderId="0" xfId="0" applyFont="1" applyAlignment="1">
      <alignment wrapText="1"/>
    </xf>
    <xf numFmtId="0" fontId="13" fillId="0" borderId="0" xfId="0" applyFont="1" applyAlignment="1">
      <alignment horizont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28" fillId="0" borderId="0" xfId="0" applyFont="1"/>
    <xf numFmtId="164" fontId="0" fillId="0" borderId="0" xfId="0" applyNumberFormat="1"/>
    <xf numFmtId="0" fontId="0" fillId="0" borderId="0" xfId="0" applyAlignment="1"/>
    <xf numFmtId="0" fontId="1" fillId="0" borderId="0" xfId="0" applyFont="1" applyAlignment="1">
      <alignment vertical="center"/>
    </xf>
    <xf numFmtId="0" fontId="0" fillId="0" borderId="0" xfId="0" applyAlignment="1">
      <alignment vertic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center" wrapText="1"/>
    </xf>
    <xf numFmtId="0" fontId="0" fillId="0" borderId="0" xfId="0" applyAlignment="1">
      <alignment horizontal="center" wrapText="1"/>
    </xf>
    <xf numFmtId="0" fontId="27" fillId="0" borderId="0" xfId="0" applyFont="1" applyAlignment="1">
      <alignment wrapText="1"/>
    </xf>
    <xf numFmtId="0" fontId="0" fillId="0" borderId="0" xfId="0" applyFont="1" applyAlignment="1">
      <alignment wrapText="1"/>
    </xf>
    <xf numFmtId="0" fontId="0" fillId="0" borderId="0" xfId="0" applyAlignment="1">
      <alignment horizontal="left"/>
    </xf>
    <xf numFmtId="0" fontId="27" fillId="0" borderId="0" xfId="0" applyFont="1" applyAlignment="1">
      <alignment horizontal="left"/>
    </xf>
    <xf numFmtId="0" fontId="0" fillId="0" borderId="0" xfId="0" applyAlignment="1">
      <alignment horizontal="left" vertical="center" wrapText="1"/>
    </xf>
    <xf numFmtId="0" fontId="0" fillId="0" borderId="0" xfId="0" applyAlignment="1">
      <alignment horizontal="left" wrapText="1"/>
    </xf>
    <xf numFmtId="0" fontId="0" fillId="0" borderId="0" xfId="0" applyFont="1" applyAlignment="1">
      <alignment horizontal="left" wrapText="1"/>
    </xf>
    <xf numFmtId="0" fontId="27" fillId="0" borderId="0" xfId="0" applyFont="1" applyAlignment="1">
      <alignment horizontal="left" wrapText="1"/>
    </xf>
    <xf numFmtId="0" fontId="0" fillId="0" borderId="0" xfId="0" applyFont="1" applyAlignment="1">
      <alignment horizontal="center" wrapText="1"/>
    </xf>
    <xf numFmtId="0" fontId="0" fillId="0" borderId="0" xfId="0" applyFont="1" applyFill="1" applyAlignment="1">
      <alignment horizontal="center" vertical="center"/>
    </xf>
    <xf numFmtId="0" fontId="1" fillId="0" borderId="0" xfId="0" applyFont="1" applyFill="1" applyAlignment="1">
      <alignment horizontal="center" vertical="center" wrapText="1"/>
    </xf>
    <xf numFmtId="0" fontId="0" fillId="2" borderId="0" xfId="0" applyFont="1" applyFill="1"/>
    <xf numFmtId="2" fontId="0" fillId="7" borderId="4" xfId="0" applyNumberFormat="1" applyFill="1" applyBorder="1" applyAlignment="1">
      <alignment horizontal="center" vertical="center"/>
    </xf>
    <xf numFmtId="0" fontId="11" fillId="14" borderId="2" xfId="0" applyFont="1" applyFill="1" applyBorder="1" applyAlignment="1">
      <alignment horizontal="left" vertical="center" wrapText="1" indent="1"/>
    </xf>
    <xf numFmtId="0" fontId="33" fillId="15" borderId="7" xfId="0" applyFont="1" applyFill="1" applyBorder="1" applyAlignment="1">
      <alignment horizontal="left" vertical="center" wrapText="1"/>
    </xf>
    <xf numFmtId="0" fontId="33" fillId="15" borderId="8" xfId="0" applyFont="1" applyFill="1" applyBorder="1" applyAlignment="1">
      <alignment horizontal="center" vertical="center" wrapText="1"/>
    </xf>
    <xf numFmtId="0" fontId="33" fillId="15" borderId="9" xfId="0" applyFont="1" applyFill="1" applyBorder="1" applyAlignment="1">
      <alignment horizontal="center" vertical="center" wrapText="1"/>
    </xf>
    <xf numFmtId="0" fontId="33" fillId="15" borderId="5" xfId="0" applyFont="1" applyFill="1" applyBorder="1" applyAlignment="1">
      <alignment horizontal="center" vertical="center" wrapText="1"/>
    </xf>
    <xf numFmtId="0" fontId="12" fillId="15" borderId="11" xfId="0" applyFont="1" applyFill="1" applyBorder="1" applyAlignment="1">
      <alignment horizontal="center" vertical="center" wrapText="1"/>
    </xf>
    <xf numFmtId="0" fontId="12" fillId="15" borderId="6" xfId="0" applyFont="1" applyFill="1" applyBorder="1" applyAlignment="1">
      <alignment horizontal="center" vertical="center" wrapText="1"/>
    </xf>
    <xf numFmtId="9" fontId="10" fillId="8" borderId="14" xfId="0" applyNumberFormat="1" applyFont="1" applyFill="1" applyBorder="1" applyAlignment="1">
      <alignment vertical="center"/>
    </xf>
    <xf numFmtId="0" fontId="14" fillId="7" borderId="0" xfId="0" applyFont="1" applyFill="1" applyBorder="1" applyAlignment="1">
      <alignment horizontal="center" vertical="center" wrapText="1"/>
    </xf>
    <xf numFmtId="2" fontId="22" fillId="6" borderId="0" xfId="0" applyNumberFormat="1" applyFont="1" applyFill="1" applyBorder="1" applyAlignment="1">
      <alignment horizontal="center" vertical="center" wrapText="1"/>
    </xf>
    <xf numFmtId="0" fontId="16" fillId="3" borderId="0"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17" fillId="6" borderId="0" xfId="0" applyFont="1" applyFill="1" applyBorder="1" applyAlignment="1">
      <alignment horizontal="center" vertical="center" wrapText="1"/>
    </xf>
    <xf numFmtId="2" fontId="32" fillId="13" borderId="0" xfId="0" applyNumberFormat="1" applyFont="1" applyFill="1" applyBorder="1" applyAlignment="1">
      <alignment horizontal="center" vertical="center" wrapText="1"/>
    </xf>
    <xf numFmtId="2" fontId="4" fillId="13" borderId="0" xfId="0" applyNumberFormat="1" applyFont="1" applyFill="1" applyBorder="1" applyAlignment="1">
      <alignment horizontal="center" vertical="center" wrapText="1"/>
    </xf>
    <xf numFmtId="0" fontId="17" fillId="3" borderId="0" xfId="0" applyFont="1" applyFill="1" applyBorder="1" applyAlignment="1">
      <alignment horizontal="center" vertical="center" wrapText="1"/>
    </xf>
    <xf numFmtId="0" fontId="0" fillId="2" borderId="0" xfId="0" applyFill="1"/>
    <xf numFmtId="0" fontId="0" fillId="2" borderId="0" xfId="0" applyFill="1" applyAlignment="1">
      <alignment horizontal="center" vertical="center"/>
    </xf>
    <xf numFmtId="0" fontId="33" fillId="2" borderId="0" xfId="0" applyFont="1" applyFill="1" applyBorder="1" applyAlignment="1">
      <alignment horizontal="center" vertical="center" wrapText="1"/>
    </xf>
    <xf numFmtId="0" fontId="7" fillId="2" borderId="0" xfId="0" applyFont="1" applyFill="1" applyAlignment="1">
      <alignment horizontal="center" vertical="center"/>
    </xf>
    <xf numFmtId="0" fontId="7" fillId="2" borderId="0" xfId="0" applyFont="1" applyFill="1"/>
    <xf numFmtId="0" fontId="7" fillId="2" borderId="0" xfId="0" applyFont="1" applyFill="1" applyAlignment="1">
      <alignment wrapText="1"/>
    </xf>
    <xf numFmtId="0" fontId="0" fillId="2" borderId="0" xfId="0" applyFill="1" applyAlignment="1">
      <alignment wrapText="1"/>
    </xf>
    <xf numFmtId="0" fontId="0" fillId="2" borderId="0" xfId="0" applyFont="1" applyFill="1" applyAlignment="1">
      <alignment horizontal="center" vertical="center"/>
    </xf>
    <xf numFmtId="0" fontId="15" fillId="2" borderId="0" xfId="0" applyFont="1" applyFill="1" applyAlignment="1">
      <alignment horizontal="center" vertical="center" wrapText="1"/>
    </xf>
    <xf numFmtId="0" fontId="6" fillId="2" borderId="0" xfId="0" applyFont="1" applyFill="1" applyAlignment="1">
      <alignment horizontal="center" vertical="center"/>
    </xf>
    <xf numFmtId="2" fontId="2" fillId="2" borderId="0" xfId="0" applyNumberFormat="1" applyFont="1" applyFill="1" applyAlignment="1">
      <alignment horizontal="center" vertical="center"/>
    </xf>
    <xf numFmtId="2" fontId="0" fillId="2" borderId="0" xfId="0" applyNumberFormat="1" applyFill="1" applyAlignment="1">
      <alignment horizontal="center" vertical="center" wrapText="1"/>
    </xf>
    <xf numFmtId="2" fontId="0" fillId="2" borderId="0" xfId="0" applyNumberFormat="1" applyFill="1" applyAlignment="1">
      <alignment horizontal="center" vertical="center"/>
    </xf>
    <xf numFmtId="0" fontId="23" fillId="16" borderId="16" xfId="0" applyFont="1" applyFill="1" applyBorder="1" applyAlignment="1">
      <alignment horizontal="center" vertical="center" wrapText="1"/>
    </xf>
    <xf numFmtId="2" fontId="31" fillId="16" borderId="16" xfId="0" applyNumberFormat="1" applyFont="1" applyFill="1" applyBorder="1" applyAlignment="1">
      <alignment horizontal="center" vertical="center"/>
    </xf>
    <xf numFmtId="0" fontId="0" fillId="2" borderId="0" xfId="0" applyFill="1" applyBorder="1"/>
    <xf numFmtId="0" fontId="9" fillId="2" borderId="0" xfId="0" applyFont="1" applyFill="1" applyBorder="1" applyAlignment="1">
      <alignment horizontal="center" vertical="center" wrapText="1"/>
    </xf>
    <xf numFmtId="0" fontId="0" fillId="18" borderId="0" xfId="0" applyFill="1" applyAlignment="1">
      <alignment horizontal="center" vertical="center"/>
    </xf>
    <xf numFmtId="0" fontId="0" fillId="18" borderId="0" xfId="0" applyFill="1" applyAlignment="1">
      <alignment vertical="center"/>
    </xf>
    <xf numFmtId="0" fontId="0" fillId="0" borderId="0" xfId="0" applyFont="1" applyFill="1" applyBorder="1" applyAlignment="1">
      <alignment horizontal="center" vertical="center"/>
    </xf>
    <xf numFmtId="0" fontId="1" fillId="0" borderId="0" xfId="0" applyFont="1" applyFill="1" applyAlignment="1">
      <alignment horizontal="center" vertical="center"/>
    </xf>
    <xf numFmtId="9" fontId="0" fillId="0" borderId="0" xfId="1" applyFont="1" applyFill="1" applyAlignment="1">
      <alignment horizontal="center" vertical="center"/>
    </xf>
    <xf numFmtId="9" fontId="0" fillId="0" borderId="0" xfId="1" applyNumberFormat="1" applyFont="1" applyFill="1" applyAlignment="1">
      <alignment horizontal="center" vertical="center"/>
    </xf>
    <xf numFmtId="0" fontId="1" fillId="21" borderId="0" xfId="0" applyFont="1" applyFill="1" applyAlignment="1">
      <alignment wrapText="1"/>
    </xf>
    <xf numFmtId="0" fontId="0" fillId="21" borderId="0" xfId="0" applyFont="1" applyFill="1"/>
    <xf numFmtId="0" fontId="0" fillId="21" borderId="0" xfId="0" applyFill="1"/>
    <xf numFmtId="0" fontId="0" fillId="21" borderId="0" xfId="0" applyFill="1" applyAlignment="1">
      <alignment horizontal="center" vertical="center"/>
    </xf>
    <xf numFmtId="0" fontId="0" fillId="21" borderId="0" xfId="0" applyFont="1" applyFill="1" applyAlignment="1">
      <alignment horizontal="center" vertical="center" wrapText="1"/>
    </xf>
    <xf numFmtId="0" fontId="0" fillId="21" borderId="0" xfId="0" applyFont="1" applyFill="1" applyAlignment="1">
      <alignment horizontal="center" vertical="center"/>
    </xf>
    <xf numFmtId="0" fontId="0" fillId="21" borderId="0" xfId="0" applyFont="1" applyFill="1" applyAlignment="1">
      <alignment vertical="center" wrapText="1"/>
    </xf>
    <xf numFmtId="0" fontId="0" fillId="21" borderId="0" xfId="0" applyFont="1" applyFill="1" applyAlignment="1">
      <alignment vertical="center"/>
    </xf>
    <xf numFmtId="0" fontId="0" fillId="21" borderId="0" xfId="0" applyFill="1" applyAlignment="1">
      <alignment vertical="center"/>
    </xf>
    <xf numFmtId="0" fontId="0" fillId="21" borderId="0" xfId="0" applyFont="1" applyFill="1" applyAlignment="1">
      <alignment wrapText="1"/>
    </xf>
    <xf numFmtId="0" fontId="35" fillId="17" borderId="25" xfId="0" applyFont="1" applyFill="1" applyBorder="1" applyAlignment="1">
      <alignment vertical="center" wrapText="1"/>
    </xf>
    <xf numFmtId="0" fontId="0" fillId="20" borderId="26" xfId="0" applyFont="1" applyFill="1" applyBorder="1" applyAlignment="1">
      <alignment vertical="center" wrapText="1"/>
    </xf>
    <xf numFmtId="0" fontId="0" fillId="0" borderId="27" xfId="0" applyFont="1" applyFill="1" applyBorder="1" applyAlignment="1">
      <alignment horizontal="center" vertical="center"/>
    </xf>
    <xf numFmtId="0" fontId="35" fillId="17" borderId="28" xfId="0" applyFont="1" applyFill="1" applyBorder="1" applyAlignment="1">
      <alignment vertical="center" wrapText="1"/>
    </xf>
    <xf numFmtId="0" fontId="0" fillId="20" borderId="29" xfId="0" applyFont="1" applyFill="1" applyBorder="1" applyAlignment="1">
      <alignment vertical="center" wrapText="1"/>
    </xf>
    <xf numFmtId="0" fontId="25" fillId="10" borderId="26" xfId="0" applyFont="1" applyFill="1" applyBorder="1" applyAlignment="1">
      <alignment vertical="center" wrapText="1"/>
    </xf>
    <xf numFmtId="0" fontId="0" fillId="20" borderId="30" xfId="0" applyFont="1" applyFill="1" applyBorder="1" applyAlignment="1">
      <alignment vertical="center" wrapText="1"/>
    </xf>
    <xf numFmtId="0" fontId="0" fillId="0" borderId="32" xfId="0" applyFont="1" applyFill="1" applyBorder="1" applyAlignment="1">
      <alignment horizontal="center" vertical="center"/>
    </xf>
    <xf numFmtId="0" fontId="0" fillId="0" borderId="36" xfId="0" applyFont="1" applyFill="1" applyBorder="1" applyAlignment="1">
      <alignment horizontal="center" vertical="center"/>
    </xf>
    <xf numFmtId="0" fontId="35" fillId="17" borderId="37" xfId="0" applyFont="1" applyFill="1" applyBorder="1" applyAlignment="1">
      <alignment vertical="center" wrapText="1"/>
    </xf>
    <xf numFmtId="0" fontId="11" fillId="17" borderId="37" xfId="0" applyFont="1" applyFill="1" applyBorder="1" applyAlignment="1">
      <alignment vertical="center" wrapText="1"/>
    </xf>
    <xf numFmtId="0" fontId="0" fillId="0" borderId="27" xfId="0" applyFont="1" applyFill="1" applyBorder="1" applyAlignment="1" applyProtection="1">
      <alignment horizontal="center" vertical="center"/>
      <protection locked="0"/>
    </xf>
    <xf numFmtId="0" fontId="10" fillId="11" borderId="35" xfId="0" applyFont="1" applyFill="1" applyBorder="1"/>
    <xf numFmtId="0" fontId="0" fillId="11" borderId="36" xfId="0" applyFont="1" applyFill="1" applyBorder="1" applyAlignment="1">
      <alignment horizontal="center" vertical="center"/>
    </xf>
    <xf numFmtId="0" fontId="0" fillId="21" borderId="0" xfId="0" applyFill="1" applyBorder="1" applyAlignment="1">
      <alignment horizontal="center" vertical="center"/>
    </xf>
    <xf numFmtId="0" fontId="0" fillId="21" borderId="41" xfId="0" applyFill="1" applyBorder="1" applyAlignment="1">
      <alignment horizontal="center" vertical="center"/>
    </xf>
    <xf numFmtId="0" fontId="0" fillId="21" borderId="42" xfId="0" applyFill="1" applyBorder="1" applyAlignment="1">
      <alignment horizontal="center" vertical="center"/>
    </xf>
    <xf numFmtId="0" fontId="0" fillId="21" borderId="43" xfId="0" applyFill="1" applyBorder="1" applyAlignment="1">
      <alignment horizontal="center" vertical="center"/>
    </xf>
    <xf numFmtId="0" fontId="0" fillId="21" borderId="44" xfId="0" applyFill="1" applyBorder="1" applyAlignment="1">
      <alignment horizontal="center" vertical="center"/>
    </xf>
    <xf numFmtId="0" fontId="0" fillId="21" borderId="45" xfId="0" applyFill="1" applyBorder="1" applyAlignment="1">
      <alignment horizontal="center" vertical="center"/>
    </xf>
    <xf numFmtId="0" fontId="0" fillId="21" borderId="39" xfId="0" applyFill="1" applyBorder="1" applyAlignment="1">
      <alignment horizontal="center" vertical="center"/>
    </xf>
    <xf numFmtId="0" fontId="0" fillId="0" borderId="33" xfId="0" applyFont="1" applyFill="1" applyBorder="1" applyAlignment="1" applyProtection="1">
      <alignment horizontal="center" vertical="center"/>
      <protection locked="0"/>
    </xf>
    <xf numFmtId="0" fontId="0" fillId="2" borderId="0" xfId="0" quotePrefix="1" applyFill="1"/>
    <xf numFmtId="0" fontId="33" fillId="15" borderId="9" xfId="0" applyFont="1" applyFill="1" applyBorder="1" applyAlignment="1">
      <alignment horizontal="left" vertical="center" wrapText="1"/>
    </xf>
    <xf numFmtId="1" fontId="40" fillId="6" borderId="0" xfId="0" applyNumberFormat="1" applyFont="1" applyFill="1" applyBorder="1" applyAlignment="1">
      <alignment horizontal="center" vertical="center" wrapText="1"/>
    </xf>
    <xf numFmtId="0" fontId="0" fillId="20" borderId="34" xfId="0" applyFont="1" applyFill="1" applyBorder="1" applyAlignment="1">
      <alignment horizontal="center" vertical="center" wrapText="1"/>
    </xf>
    <xf numFmtId="0" fontId="0" fillId="20" borderId="1" xfId="0" applyFont="1" applyFill="1" applyBorder="1" applyAlignment="1">
      <alignment horizontal="center" vertical="center" wrapText="1"/>
    </xf>
    <xf numFmtId="0" fontId="0" fillId="20" borderId="20" xfId="0" applyFont="1" applyFill="1" applyBorder="1" applyAlignment="1">
      <alignment horizontal="center" vertical="center" wrapText="1"/>
    </xf>
    <xf numFmtId="0" fontId="35" fillId="17" borderId="35" xfId="0" applyFont="1" applyFill="1" applyBorder="1" applyAlignment="1">
      <alignment horizontal="center" vertical="center" wrapText="1"/>
    </xf>
    <xf numFmtId="0" fontId="0" fillId="20" borderId="21" xfId="0" applyFont="1" applyFill="1" applyBorder="1" applyAlignment="1">
      <alignment horizontal="center" vertical="center" wrapText="1"/>
    </xf>
    <xf numFmtId="0" fontId="0" fillId="20" borderId="31" xfId="0" applyFont="1" applyFill="1" applyBorder="1" applyAlignment="1">
      <alignment horizontal="center" vertical="center" wrapText="1"/>
    </xf>
    <xf numFmtId="2" fontId="41" fillId="6" borderId="0" xfId="0" applyNumberFormat="1" applyFont="1" applyFill="1" applyBorder="1" applyAlignment="1">
      <alignment horizontal="center" vertical="center" wrapText="1"/>
    </xf>
    <xf numFmtId="0" fontId="42" fillId="3" borderId="0" xfId="0" applyFont="1" applyFill="1" applyBorder="1" applyAlignment="1">
      <alignment horizontal="center" vertical="center" wrapText="1"/>
    </xf>
    <xf numFmtId="0" fontId="43" fillId="20" borderId="1" xfId="0" applyFont="1" applyFill="1" applyBorder="1" applyAlignment="1">
      <alignment horizontal="center" vertical="center" wrapText="1"/>
    </xf>
    <xf numFmtId="0" fontId="43" fillId="20" borderId="20" xfId="0" applyFont="1" applyFill="1" applyBorder="1" applyAlignment="1">
      <alignment horizontal="center" vertical="center" wrapText="1"/>
    </xf>
    <xf numFmtId="2" fontId="5" fillId="6" borderId="0" xfId="0" applyNumberFormat="1" applyFont="1" applyFill="1" applyBorder="1" applyAlignment="1">
      <alignment horizontal="center" vertical="center" wrapText="1"/>
    </xf>
    <xf numFmtId="0" fontId="11" fillId="2" borderId="0" xfId="0" applyFont="1" applyFill="1" applyBorder="1" applyAlignment="1">
      <alignment vertical="center" wrapText="1"/>
    </xf>
    <xf numFmtId="0" fontId="0" fillId="2" borderId="0" xfId="0" applyFont="1" applyFill="1" applyBorder="1" applyAlignment="1" applyProtection="1">
      <alignment horizontal="center" vertical="center"/>
      <protection locked="0"/>
    </xf>
    <xf numFmtId="0" fontId="35" fillId="2" borderId="0" xfId="0" applyFont="1" applyFill="1" applyBorder="1" applyAlignment="1">
      <alignment vertical="center" wrapText="1"/>
    </xf>
    <xf numFmtId="0" fontId="0" fillId="2" borderId="0" xfId="0" applyFont="1" applyFill="1" applyBorder="1" applyAlignment="1">
      <alignment horizontal="center" vertical="center"/>
    </xf>
    <xf numFmtId="0" fontId="0" fillId="2" borderId="26" xfId="0" applyFont="1" applyFill="1" applyBorder="1" applyAlignment="1">
      <alignment vertical="center" wrapText="1"/>
    </xf>
    <xf numFmtId="0" fontId="0" fillId="2" borderId="0" xfId="0" applyFill="1" applyAlignment="1">
      <alignment vertical="center"/>
    </xf>
    <xf numFmtId="0" fontId="0" fillId="2" borderId="0" xfId="0" applyFont="1" applyFill="1" applyAlignment="1">
      <alignment vertical="center"/>
    </xf>
    <xf numFmtId="0" fontId="25" fillId="2" borderId="26" xfId="0" applyFont="1" applyFill="1" applyBorder="1" applyAlignment="1">
      <alignment vertical="center" wrapText="1"/>
    </xf>
    <xf numFmtId="0" fontId="0" fillId="2" borderId="30" xfId="0" applyFont="1" applyFill="1" applyBorder="1" applyAlignment="1">
      <alignment vertical="center" wrapText="1"/>
    </xf>
    <xf numFmtId="0" fontId="0" fillId="3" borderId="0" xfId="0" applyFill="1" applyBorder="1" applyAlignment="1">
      <alignment horizontal="center" vertical="center"/>
    </xf>
    <xf numFmtId="0" fontId="0" fillId="0" borderId="16" xfId="0" applyFont="1" applyFill="1" applyBorder="1" applyAlignment="1" applyProtection="1">
      <alignment horizontal="center" vertical="center"/>
      <protection locked="0"/>
    </xf>
    <xf numFmtId="0" fontId="0" fillId="0" borderId="18" xfId="0" applyFont="1" applyFill="1" applyBorder="1" applyAlignment="1">
      <alignment horizontal="center" vertical="center"/>
    </xf>
    <xf numFmtId="0" fontId="0" fillId="0" borderId="19" xfId="0" applyFont="1" applyFill="1" applyBorder="1" applyAlignment="1" applyProtection="1">
      <alignment horizontal="center" vertical="center"/>
      <protection locked="0"/>
    </xf>
    <xf numFmtId="0" fontId="0" fillId="2" borderId="0" xfId="0" applyFill="1" applyBorder="1" applyAlignment="1">
      <alignment horizontal="center" vertical="center"/>
    </xf>
    <xf numFmtId="0" fontId="0" fillId="3" borderId="46"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2" fontId="46" fillId="6" borderId="0" xfId="0" applyNumberFormat="1" applyFont="1" applyFill="1" applyBorder="1" applyAlignment="1">
      <alignment horizontal="center" vertical="center" wrapText="1"/>
    </xf>
    <xf numFmtId="0" fontId="47" fillId="0" borderId="0" xfId="0" applyFont="1" applyFill="1" applyBorder="1" applyAlignment="1">
      <alignment horizontal="center" vertical="center" wrapText="1"/>
    </xf>
    <xf numFmtId="0" fontId="39" fillId="2" borderId="0" xfId="0" applyFont="1" applyFill="1" applyAlignment="1"/>
    <xf numFmtId="0" fontId="0" fillId="2" borderId="51" xfId="0" applyFont="1" applyFill="1" applyBorder="1" applyAlignment="1">
      <alignment vertical="center" wrapText="1"/>
    </xf>
    <xf numFmtId="0" fontId="0" fillId="20" borderId="47" xfId="0" applyFont="1" applyFill="1" applyBorder="1" applyAlignment="1">
      <alignment vertical="center" wrapText="1"/>
    </xf>
    <xf numFmtId="0" fontId="0" fillId="20" borderId="15" xfId="0" applyFont="1" applyFill="1" applyBorder="1" applyAlignment="1">
      <alignment vertical="center" wrapText="1"/>
    </xf>
    <xf numFmtId="0" fontId="25" fillId="10" borderId="47" xfId="0" applyFont="1" applyFill="1" applyBorder="1" applyAlignment="1">
      <alignment vertical="center" wrapText="1"/>
    </xf>
    <xf numFmtId="0" fontId="0" fillId="20" borderId="50" xfId="0" applyFont="1" applyFill="1" applyBorder="1" applyAlignment="1">
      <alignment vertical="center" wrapText="1"/>
    </xf>
    <xf numFmtId="0" fontId="0" fillId="20" borderId="0" xfId="0" applyFont="1" applyFill="1" applyBorder="1" applyAlignment="1">
      <alignment vertical="center" wrapText="1"/>
    </xf>
    <xf numFmtId="0" fontId="0" fillId="2" borderId="0" xfId="0" applyFont="1" applyFill="1" applyBorder="1" applyAlignment="1">
      <alignment vertical="center" wrapText="1"/>
    </xf>
    <xf numFmtId="0" fontId="25" fillId="2" borderId="0" xfId="0" applyFont="1" applyFill="1" applyBorder="1" applyAlignment="1">
      <alignment vertical="center" wrapText="1"/>
    </xf>
    <xf numFmtId="0" fontId="0" fillId="20" borderId="9" xfId="0" applyFont="1" applyFill="1" applyBorder="1" applyAlignment="1">
      <alignment horizontal="center" vertical="center" wrapText="1"/>
    </xf>
    <xf numFmtId="0" fontId="0" fillId="20" borderId="12" xfId="0" applyFont="1" applyFill="1" applyBorder="1" applyAlignment="1">
      <alignment horizontal="center" vertical="center" wrapText="1"/>
    </xf>
    <xf numFmtId="0" fontId="0" fillId="2" borderId="0" xfId="0" applyFill="1" applyAlignment="1">
      <alignment vertical="center" wrapText="1"/>
    </xf>
    <xf numFmtId="0" fontId="0" fillId="2" borderId="9"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0" xfId="0" applyFont="1" applyFill="1" applyBorder="1" applyAlignment="1" applyProtection="1">
      <alignment horizontal="center" vertical="center" wrapText="1"/>
      <protection locked="0"/>
    </xf>
    <xf numFmtId="0" fontId="0" fillId="2" borderId="0" xfId="0" applyFont="1" applyFill="1" applyAlignment="1">
      <alignment wrapText="1"/>
    </xf>
    <xf numFmtId="0" fontId="0" fillId="2" borderId="0" xfId="0" applyFont="1" applyFill="1" applyBorder="1" applyAlignment="1">
      <alignment horizontal="center" vertical="center" wrapText="1"/>
    </xf>
    <xf numFmtId="0" fontId="35" fillId="17" borderId="36" xfId="0" applyFont="1" applyFill="1" applyBorder="1" applyAlignment="1">
      <alignment horizontal="center" vertical="center" wrapText="1"/>
    </xf>
    <xf numFmtId="0" fontId="0" fillId="2" borderId="47" xfId="0" applyFont="1" applyFill="1" applyBorder="1" applyAlignment="1" applyProtection="1">
      <alignment horizontal="center" vertical="center" wrapText="1"/>
      <protection locked="0"/>
    </xf>
    <xf numFmtId="0" fontId="0" fillId="2" borderId="9" xfId="0" applyFont="1" applyFill="1" applyBorder="1" applyAlignment="1" applyProtection="1">
      <alignment horizontal="center" vertical="center" wrapText="1"/>
      <protection locked="0"/>
    </xf>
    <xf numFmtId="0" fontId="0" fillId="0" borderId="9" xfId="0" applyFont="1" applyFill="1" applyBorder="1" applyAlignment="1">
      <alignment horizontal="center" vertical="center"/>
    </xf>
    <xf numFmtId="0" fontId="0" fillId="2" borderId="48" xfId="0" applyFont="1" applyFill="1" applyBorder="1" applyAlignment="1" applyProtection="1">
      <alignment horizontal="center" vertical="center" wrapText="1"/>
      <protection locked="0"/>
    </xf>
    <xf numFmtId="0" fontId="0" fillId="2" borderId="12" xfId="0" applyFont="1" applyFill="1" applyBorder="1" applyAlignment="1" applyProtection="1">
      <alignment horizontal="center" vertical="center" wrapText="1"/>
      <protection locked="0"/>
    </xf>
    <xf numFmtId="0" fontId="0" fillId="0" borderId="12" xfId="0" applyFont="1" applyFill="1" applyBorder="1" applyAlignment="1">
      <alignment horizontal="center" vertical="center"/>
    </xf>
    <xf numFmtId="0" fontId="0" fillId="2" borderId="55" xfId="0" applyFont="1" applyFill="1" applyBorder="1" applyAlignment="1" applyProtection="1">
      <alignment horizontal="center" vertical="center" wrapText="1"/>
      <protection locked="0"/>
    </xf>
    <xf numFmtId="0" fontId="0" fillId="2" borderId="49" xfId="0" applyFont="1" applyFill="1" applyBorder="1" applyAlignment="1" applyProtection="1">
      <alignment horizontal="center" vertical="center" wrapText="1"/>
      <protection locked="0"/>
    </xf>
    <xf numFmtId="0" fontId="0" fillId="2" borderId="54" xfId="0" applyFont="1" applyFill="1" applyBorder="1" applyAlignment="1" applyProtection="1">
      <alignment horizontal="center" vertical="center" wrapText="1"/>
      <protection locked="0"/>
    </xf>
    <xf numFmtId="0" fontId="0" fillId="2" borderId="52" xfId="0" applyFont="1" applyFill="1" applyBorder="1" applyAlignment="1" applyProtection="1">
      <alignment horizontal="center" vertical="center" wrapText="1"/>
      <protection locked="0"/>
    </xf>
    <xf numFmtId="0" fontId="0" fillId="20" borderId="53" xfId="0" applyFont="1" applyFill="1" applyBorder="1" applyAlignment="1">
      <alignment horizontal="center" vertical="center" wrapText="1"/>
    </xf>
    <xf numFmtId="0" fontId="45" fillId="2" borderId="0" xfId="0" applyFont="1" applyFill="1" applyBorder="1" applyAlignment="1" applyProtection="1">
      <protection locked="0"/>
    </xf>
    <xf numFmtId="0" fontId="0" fillId="20" borderId="17" xfId="0" applyFont="1" applyFill="1" applyBorder="1" applyAlignment="1">
      <alignment horizontal="center" vertical="center" wrapText="1"/>
    </xf>
    <xf numFmtId="0" fontId="0" fillId="0" borderId="54" xfId="0" applyFont="1" applyFill="1" applyBorder="1" applyAlignment="1">
      <alignment horizontal="center" vertical="center"/>
    </xf>
    <xf numFmtId="0" fontId="0" fillId="0" borderId="56" xfId="0" applyFont="1" applyFill="1" applyBorder="1" applyAlignment="1" applyProtection="1">
      <alignment horizontal="center" vertical="center"/>
      <protection locked="0"/>
    </xf>
    <xf numFmtId="0" fontId="3" fillId="20" borderId="54" xfId="0" applyFont="1" applyFill="1" applyBorder="1" applyAlignment="1">
      <alignment horizontal="center" vertical="center" wrapText="1"/>
    </xf>
    <xf numFmtId="0" fontId="0" fillId="0" borderId="0" xfId="0" applyAlignment="1">
      <alignment vertical="center" wrapText="1"/>
    </xf>
    <xf numFmtId="0" fontId="0" fillId="2" borderId="12" xfId="0" applyFill="1" applyBorder="1" applyAlignment="1">
      <alignment horizontal="center" vertical="center" wrapText="1"/>
    </xf>
    <xf numFmtId="0" fontId="35" fillId="17" borderId="57" xfId="0" applyFont="1" applyFill="1" applyBorder="1" applyAlignment="1">
      <alignment horizontal="center" vertical="center" wrapText="1"/>
    </xf>
    <xf numFmtId="0" fontId="35" fillId="17" borderId="58" xfId="0" applyFont="1" applyFill="1" applyBorder="1" applyAlignment="1">
      <alignment horizontal="center" vertical="center" wrapText="1"/>
    </xf>
    <xf numFmtId="0" fontId="0" fillId="0" borderId="58" xfId="0" applyFont="1" applyFill="1" applyBorder="1" applyAlignment="1">
      <alignment horizontal="center" vertical="center"/>
    </xf>
    <xf numFmtId="0" fontId="11" fillId="17" borderId="59" xfId="0" applyFont="1" applyFill="1" applyBorder="1" applyAlignment="1">
      <alignment vertical="center" wrapText="1"/>
    </xf>
    <xf numFmtId="0" fontId="0" fillId="2" borderId="18" xfId="0" applyFont="1" applyFill="1" applyBorder="1" applyAlignment="1" applyProtection="1">
      <alignment horizontal="center" vertical="center" wrapText="1"/>
      <protection locked="0"/>
    </xf>
    <xf numFmtId="0" fontId="0" fillId="20" borderId="49" xfId="0" applyFont="1" applyFill="1" applyBorder="1" applyAlignment="1">
      <alignment vertical="center" wrapText="1"/>
    </xf>
    <xf numFmtId="0" fontId="0" fillId="2" borderId="54" xfId="0" applyFill="1" applyBorder="1" applyAlignment="1">
      <alignment horizontal="center" vertical="center" wrapText="1"/>
    </xf>
    <xf numFmtId="0" fontId="0" fillId="2" borderId="0" xfId="0" applyFill="1" applyBorder="1" applyAlignment="1">
      <alignment horizontal="center" vertical="center" wrapText="1"/>
    </xf>
    <xf numFmtId="0" fontId="0" fillId="20" borderId="54" xfId="0" applyFont="1" applyFill="1" applyBorder="1" applyAlignment="1">
      <alignment horizontal="center" vertical="center" wrapText="1"/>
    </xf>
    <xf numFmtId="0" fontId="35" fillId="17" borderId="60" xfId="0" applyFont="1" applyFill="1" applyBorder="1" applyAlignment="1">
      <alignment horizontal="center" vertical="center" wrapText="1"/>
    </xf>
    <xf numFmtId="0" fontId="35" fillId="17" borderId="61" xfId="0" applyFont="1" applyFill="1" applyBorder="1" applyAlignment="1">
      <alignment horizontal="center" vertical="center" wrapText="1"/>
    </xf>
    <xf numFmtId="0" fontId="48" fillId="17" borderId="62" xfId="0" applyFont="1" applyFill="1" applyBorder="1" applyAlignment="1">
      <alignment horizontal="center" vertical="center" wrapText="1"/>
    </xf>
    <xf numFmtId="0" fontId="48" fillId="17" borderId="63" xfId="0" applyFont="1" applyFill="1" applyBorder="1" applyAlignment="1">
      <alignment horizontal="center" vertical="center" wrapText="1"/>
    </xf>
    <xf numFmtId="0" fontId="45" fillId="3" borderId="0" xfId="0" applyFont="1" applyFill="1" applyBorder="1" applyAlignment="1" applyProtection="1">
      <protection locked="0"/>
    </xf>
    <xf numFmtId="9" fontId="0" fillId="2" borderId="0" xfId="1" applyFont="1" applyFill="1" applyBorder="1" applyAlignment="1">
      <alignment horizontal="center" vertical="center"/>
    </xf>
    <xf numFmtId="0" fontId="1" fillId="2" borderId="0" xfId="0" applyFont="1" applyFill="1" applyBorder="1" applyAlignment="1">
      <alignment horizontal="center" vertical="center"/>
    </xf>
    <xf numFmtId="0" fontId="0" fillId="20" borderId="18"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2" borderId="46" xfId="0" applyFont="1" applyFill="1" applyBorder="1" applyAlignment="1" applyProtection="1">
      <alignment horizontal="center" vertical="center" wrapText="1"/>
      <protection locked="0"/>
    </xf>
    <xf numFmtId="0" fontId="51" fillId="2" borderId="0" xfId="0" applyFont="1" applyFill="1" applyBorder="1" applyAlignment="1">
      <alignment vertical="center" wrapText="1"/>
    </xf>
    <xf numFmtId="0" fontId="0" fillId="2" borderId="0" xfId="0" applyFill="1" applyBorder="1" applyAlignment="1">
      <alignment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2" fontId="5" fillId="6" borderId="65" xfId="0" applyNumberFormat="1" applyFont="1" applyFill="1" applyBorder="1" applyAlignment="1">
      <alignment horizontal="center" vertical="center" wrapText="1"/>
    </xf>
    <xf numFmtId="2" fontId="5" fillId="6" borderId="64" xfId="0" applyNumberFormat="1" applyFont="1" applyFill="1" applyBorder="1" applyAlignment="1">
      <alignment horizontal="center" vertical="center" wrapText="1"/>
    </xf>
    <xf numFmtId="2" fontId="5" fillId="6" borderId="16" xfId="0" applyNumberFormat="1" applyFont="1" applyFill="1" applyBorder="1" applyAlignment="1">
      <alignment horizontal="center" vertical="center" wrapText="1"/>
    </xf>
    <xf numFmtId="2" fontId="4" fillId="13" borderId="16" xfId="0" applyNumberFormat="1" applyFont="1" applyFill="1" applyBorder="1" applyAlignment="1">
      <alignment horizontal="center" vertical="center" wrapText="1"/>
    </xf>
    <xf numFmtId="0" fontId="25" fillId="2" borderId="0" xfId="0" applyFont="1" applyFill="1" applyBorder="1"/>
    <xf numFmtId="0" fontId="52" fillId="22" borderId="58" xfId="0" applyFont="1" applyFill="1" applyBorder="1" applyAlignment="1">
      <alignment horizontal="center" vertical="center" wrapText="1"/>
    </xf>
    <xf numFmtId="0" fontId="2" fillId="2" borderId="0" xfId="0" applyFont="1" applyFill="1"/>
    <xf numFmtId="0" fontId="54" fillId="2" borderId="0" xfId="0" applyFont="1" applyFill="1" applyBorder="1"/>
    <xf numFmtId="0" fontId="54" fillId="2" borderId="0" xfId="0" applyFont="1" applyFill="1"/>
    <xf numFmtId="0" fontId="55" fillId="2" borderId="0" xfId="0" applyFont="1" applyFill="1" applyBorder="1" applyAlignment="1"/>
    <xf numFmtId="0" fontId="56" fillId="2" borderId="0" xfId="0" applyFont="1" applyFill="1" applyBorder="1" applyAlignment="1">
      <alignment horizontal="center" vertical="center"/>
    </xf>
    <xf numFmtId="2" fontId="54" fillId="2" borderId="0" xfId="0" applyNumberFormat="1" applyFont="1" applyFill="1" applyBorder="1"/>
    <xf numFmtId="0" fontId="17" fillId="4" borderId="0" xfId="0" applyFont="1" applyFill="1" applyBorder="1" applyAlignment="1">
      <alignment horizontal="center" vertical="center" wrapText="1"/>
    </xf>
    <xf numFmtId="0" fontId="6" fillId="2" borderId="0" xfId="0" applyFont="1" applyFill="1" applyBorder="1" applyAlignment="1">
      <alignment horizontal="center" vertical="center"/>
    </xf>
    <xf numFmtId="2" fontId="4" fillId="6" borderId="0" xfId="0" applyNumberFormat="1" applyFont="1" applyFill="1" applyBorder="1" applyAlignment="1">
      <alignment horizontal="center" vertical="center" wrapText="1"/>
    </xf>
    <xf numFmtId="0" fontId="53" fillId="3" borderId="0" xfId="0" applyFont="1" applyFill="1"/>
    <xf numFmtId="0" fontId="36" fillId="3" borderId="0" xfId="0" applyFont="1" applyFill="1"/>
    <xf numFmtId="0" fontId="57" fillId="3" borderId="0" xfId="0" applyFont="1" applyFill="1"/>
    <xf numFmtId="0" fontId="60" fillId="3" borderId="0" xfId="0" applyFont="1" applyFill="1"/>
    <xf numFmtId="0" fontId="0" fillId="3" borderId="0" xfId="0" applyFill="1" applyAlignment="1">
      <alignment wrapText="1"/>
    </xf>
    <xf numFmtId="0" fontId="27" fillId="2" borderId="0" xfId="0" applyFont="1" applyFill="1" applyBorder="1"/>
    <xf numFmtId="0" fontId="27" fillId="2" borderId="0" xfId="0" applyFont="1" applyFill="1"/>
    <xf numFmtId="0" fontId="61" fillId="2" borderId="0" xfId="0" applyFont="1" applyFill="1" applyBorder="1" applyAlignment="1">
      <alignment horizontal="center"/>
    </xf>
    <xf numFmtId="0" fontId="61" fillId="2" borderId="0" xfId="0" applyFont="1" applyFill="1" applyBorder="1" applyAlignment="1"/>
    <xf numFmtId="0" fontId="59" fillId="2" borderId="0" xfId="0" applyFont="1" applyFill="1" applyBorder="1" applyAlignment="1">
      <alignment horizontal="center" vertical="center"/>
    </xf>
    <xf numFmtId="0" fontId="59"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2" fontId="27" fillId="2" borderId="0" xfId="0" applyNumberFormat="1" applyFont="1" applyFill="1" applyBorder="1"/>
    <xf numFmtId="2" fontId="27" fillId="2" borderId="0" xfId="0" applyNumberFormat="1" applyFont="1" applyFill="1" applyBorder="1" applyAlignment="1">
      <alignment horizontal="center" vertical="center"/>
    </xf>
    <xf numFmtId="0" fontId="27" fillId="2" borderId="0" xfId="0" applyFont="1" applyFill="1" applyBorder="1" applyAlignment="1">
      <alignment horizontal="center" vertical="center"/>
    </xf>
    <xf numFmtId="164" fontId="27" fillId="2" borderId="0" xfId="0" applyNumberFormat="1" applyFont="1" applyFill="1"/>
    <xf numFmtId="0" fontId="59" fillId="2" borderId="0" xfId="0" applyFont="1" applyFill="1" applyBorder="1"/>
    <xf numFmtId="2" fontId="0" fillId="2" borderId="0" xfId="0" applyNumberFormat="1" applyFill="1"/>
    <xf numFmtId="0" fontId="1" fillId="2" borderId="0" xfId="0" applyFont="1" applyFill="1"/>
    <xf numFmtId="0" fontId="1" fillId="2" borderId="0" xfId="0" applyFont="1" applyFill="1" applyAlignment="1">
      <alignment horizontal="center"/>
    </xf>
    <xf numFmtId="0" fontId="0" fillId="0" borderId="0" xfId="0" pivotButton="1"/>
    <xf numFmtId="1" fontId="28" fillId="3" borderId="0" xfId="0" applyNumberFormat="1" applyFont="1" applyFill="1" applyAlignment="1">
      <alignment horizontal="center" vertical="center"/>
    </xf>
    <xf numFmtId="164" fontId="58" fillId="3" borderId="0" xfId="0" applyNumberFormat="1" applyFont="1" applyFill="1" applyAlignment="1">
      <alignment vertical="center"/>
    </xf>
    <xf numFmtId="0" fontId="1" fillId="3" borderId="0" xfId="0" applyFont="1" applyFill="1" applyAlignment="1">
      <alignment horizontal="center" wrapText="1"/>
    </xf>
    <xf numFmtId="0" fontId="62" fillId="3" borderId="0" xfId="0" applyFont="1" applyFill="1" applyAlignment="1">
      <alignment horizontal="center" vertical="center"/>
    </xf>
    <xf numFmtId="2" fontId="4" fillId="6" borderId="0" xfId="0" applyNumberFormat="1" applyFont="1" applyFill="1" applyBorder="1" applyAlignment="1">
      <alignment horizontal="center" vertical="center" wrapText="1"/>
    </xf>
    <xf numFmtId="0" fontId="6" fillId="2" borderId="0" xfId="0" applyFont="1" applyFill="1" applyBorder="1" applyAlignment="1">
      <alignment horizontal="center" vertical="center"/>
    </xf>
    <xf numFmtId="0" fontId="6" fillId="2" borderId="16" xfId="0" applyFont="1" applyFill="1" applyBorder="1" applyAlignment="1">
      <alignment horizontal="center" vertical="center"/>
    </xf>
    <xf numFmtId="0" fontId="33" fillId="23" borderId="9" xfId="0" applyFont="1" applyFill="1" applyBorder="1" applyAlignment="1">
      <alignment horizontal="center" vertical="center" wrapText="1"/>
    </xf>
    <xf numFmtId="2" fontId="5" fillId="6" borderId="54" xfId="0" applyNumberFormat="1" applyFont="1" applyFill="1" applyBorder="1" applyAlignment="1">
      <alignment horizontal="center" vertical="center" wrapText="1"/>
    </xf>
    <xf numFmtId="0" fontId="0" fillId="23" borderId="67" xfId="0" applyFill="1" applyBorder="1"/>
    <xf numFmtId="0" fontId="0" fillId="23" borderId="0" xfId="0" applyFill="1" applyBorder="1"/>
    <xf numFmtId="0" fontId="0" fillId="23" borderId="67" xfId="0" applyFill="1" applyBorder="1" applyAlignment="1">
      <alignment horizontal="center" vertical="center"/>
    </xf>
    <xf numFmtId="0" fontId="0" fillId="23" borderId="0" xfId="0" applyFill="1" applyBorder="1" applyAlignment="1">
      <alignment horizontal="center" vertical="center"/>
    </xf>
    <xf numFmtId="0" fontId="33" fillId="23" borderId="69" xfId="0" applyFont="1" applyFill="1" applyBorder="1" applyAlignment="1">
      <alignment horizontal="center" vertical="center" wrapText="1"/>
    </xf>
    <xf numFmtId="0" fontId="0" fillId="2" borderId="0" xfId="0" quotePrefix="1" applyFont="1" applyFill="1" applyAlignment="1">
      <alignment horizontal="center" vertical="center"/>
    </xf>
    <xf numFmtId="0" fontId="33" fillId="23" borderId="70" xfId="0" applyFont="1" applyFill="1" applyBorder="1" applyAlignment="1">
      <alignment horizontal="center" vertical="center" wrapText="1"/>
    </xf>
    <xf numFmtId="0" fontId="33" fillId="23" borderId="12" xfId="0" applyFont="1" applyFill="1" applyBorder="1" applyAlignment="1">
      <alignment horizontal="center" vertical="center" wrapText="1"/>
    </xf>
    <xf numFmtId="0" fontId="11" fillId="14" borderId="71" xfId="0" applyFont="1" applyFill="1" applyBorder="1" applyAlignment="1">
      <alignment horizontal="left" vertical="center" wrapText="1" indent="1"/>
    </xf>
    <xf numFmtId="0" fontId="33" fillId="15" borderId="72" xfId="0" applyFont="1" applyFill="1" applyBorder="1" applyAlignment="1">
      <alignment horizontal="left" vertical="center" wrapText="1"/>
    </xf>
    <xf numFmtId="0" fontId="33" fillId="15" borderId="12" xfId="0" applyFont="1" applyFill="1" applyBorder="1" applyAlignment="1">
      <alignment horizontal="left" vertical="center" wrapText="1"/>
    </xf>
    <xf numFmtId="0" fontId="33" fillId="15" borderId="0" xfId="0" applyFont="1" applyFill="1" applyBorder="1" applyAlignment="1">
      <alignment horizontal="center" vertical="center" wrapText="1"/>
    </xf>
    <xf numFmtId="0" fontId="11" fillId="14" borderId="0" xfId="0" applyFont="1" applyFill="1" applyBorder="1" applyAlignment="1">
      <alignment horizontal="left" vertical="center" wrapText="1" indent="1"/>
    </xf>
    <xf numFmtId="0" fontId="33" fillId="15" borderId="0" xfId="0" applyFont="1" applyFill="1" applyBorder="1" applyAlignment="1">
      <alignment horizontal="left" vertical="center" wrapText="1"/>
    </xf>
    <xf numFmtId="0" fontId="0" fillId="0" borderId="0" xfId="0" quotePrefix="1"/>
    <xf numFmtId="0" fontId="33" fillId="2" borderId="69" xfId="0" applyFont="1" applyFill="1" applyBorder="1" applyAlignment="1">
      <alignment horizontal="center" vertical="center" wrapText="1"/>
    </xf>
    <xf numFmtId="0" fontId="33" fillId="2" borderId="9" xfId="0" applyFont="1" applyFill="1" applyBorder="1" applyAlignment="1">
      <alignment horizontal="center" vertical="center" wrapText="1"/>
    </xf>
    <xf numFmtId="0" fontId="33" fillId="2" borderId="67"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66" fillId="24" borderId="66" xfId="0" applyFont="1" applyFill="1" applyBorder="1" applyAlignment="1">
      <alignment horizontal="center" vertical="center" wrapText="1"/>
    </xf>
    <xf numFmtId="0" fontId="67" fillId="24" borderId="68" xfId="0" applyFont="1" applyFill="1" applyBorder="1" applyAlignment="1">
      <alignment horizontal="center" vertical="center" wrapText="1"/>
    </xf>
    <xf numFmtId="0" fontId="7" fillId="23" borderId="0" xfId="0" applyFont="1" applyFill="1" applyAlignment="1">
      <alignment horizontal="center" vertical="center"/>
    </xf>
    <xf numFmtId="0" fontId="7" fillId="23" borderId="0" xfId="0" applyFont="1" applyFill="1"/>
    <xf numFmtId="0" fontId="7" fillId="23" borderId="0" xfId="0" applyFont="1" applyFill="1" applyAlignment="1">
      <alignment wrapText="1"/>
    </xf>
    <xf numFmtId="0" fontId="0" fillId="23" borderId="0" xfId="0" applyFill="1" applyAlignment="1">
      <alignment wrapText="1"/>
    </xf>
    <xf numFmtId="0" fontId="0" fillId="23" borderId="0" xfId="0" applyFont="1" applyFill="1" applyAlignment="1">
      <alignment horizontal="center" vertical="center"/>
    </xf>
    <xf numFmtId="0" fontId="0" fillId="23" borderId="0" xfId="0" applyFill="1"/>
    <xf numFmtId="0" fontId="15" fillId="23" borderId="0" xfId="0" applyFont="1" applyFill="1" applyAlignment="1">
      <alignment horizontal="center" vertical="center" wrapText="1"/>
    </xf>
    <xf numFmtId="0" fontId="6" fillId="23" borderId="0" xfId="0" applyFont="1" applyFill="1" applyAlignment="1">
      <alignment horizontal="center" vertical="center"/>
    </xf>
    <xf numFmtId="2" fontId="2" fillId="23" borderId="0" xfId="0" applyNumberFormat="1" applyFont="1" applyFill="1" applyAlignment="1">
      <alignment horizontal="center" vertical="center"/>
    </xf>
    <xf numFmtId="2" fontId="0" fillId="23" borderId="0" xfId="0" applyNumberFormat="1" applyFill="1" applyAlignment="1">
      <alignment horizontal="center" vertical="center" wrapText="1"/>
    </xf>
    <xf numFmtId="2" fontId="0" fillId="23" borderId="0" xfId="0" applyNumberFormat="1" applyFill="1" applyAlignment="1">
      <alignment horizontal="center" vertical="center"/>
    </xf>
    <xf numFmtId="0" fontId="0" fillId="0" borderId="0" xfId="0" applyAlignment="1">
      <alignment horizontal="left" indent="1"/>
    </xf>
    <xf numFmtId="2" fontId="0" fillId="3" borderId="0" xfId="0" applyNumberFormat="1" applyFill="1"/>
    <xf numFmtId="2" fontId="1" fillId="3" borderId="0" xfId="0" applyNumberFormat="1" applyFont="1" applyFill="1" applyAlignment="1">
      <alignment wrapText="1"/>
    </xf>
    <xf numFmtId="2" fontId="58" fillId="3" borderId="0" xfId="0" applyNumberFormat="1" applyFont="1" applyFill="1" applyAlignment="1">
      <alignment vertical="center"/>
    </xf>
    <xf numFmtId="2" fontId="62" fillId="3" borderId="0" xfId="0" applyNumberFormat="1" applyFont="1" applyFill="1" applyAlignment="1">
      <alignment vertical="center"/>
    </xf>
    <xf numFmtId="2" fontId="0" fillId="0" borderId="0" xfId="0" pivotButton="1" applyNumberFormat="1"/>
    <xf numFmtId="164" fontId="7" fillId="2" borderId="0" xfId="0" applyNumberFormat="1" applyFont="1" applyFill="1" applyAlignment="1">
      <alignment horizontal="right" vertical="center"/>
    </xf>
    <xf numFmtId="0" fontId="27" fillId="3" borderId="0" xfId="0" applyFont="1" applyFill="1"/>
    <xf numFmtId="2" fontId="27" fillId="3" borderId="0" xfId="0" applyNumberFormat="1" applyFont="1" applyFill="1"/>
    <xf numFmtId="0" fontId="0" fillId="0" borderId="0" xfId="0" applyAlignment="1">
      <alignment horizontal="left"/>
    </xf>
    <xf numFmtId="0" fontId="0" fillId="2" borderId="0" xfId="0" applyFont="1" applyFill="1" applyBorder="1"/>
    <xf numFmtId="0" fontId="1" fillId="2" borderId="0" xfId="0" applyFont="1" applyFill="1" applyBorder="1" applyAlignment="1">
      <alignment horizontal="center" vertical="center" wrapText="1"/>
    </xf>
    <xf numFmtId="9" fontId="0" fillId="2" borderId="0" xfId="1" applyNumberFormat="1" applyFont="1" applyFill="1" applyBorder="1" applyAlignment="1">
      <alignment horizontal="center" vertical="center"/>
    </xf>
    <xf numFmtId="9" fontId="1" fillId="2" borderId="0" xfId="1" applyNumberFormat="1" applyFont="1" applyFill="1" applyBorder="1" applyAlignment="1">
      <alignment horizontal="center" vertical="center"/>
    </xf>
    <xf numFmtId="0" fontId="0" fillId="2" borderId="0" xfId="0" applyFont="1" applyFill="1" applyBorder="1" applyAlignment="1">
      <alignment vertical="center"/>
    </xf>
    <xf numFmtId="0" fontId="0" fillId="0" borderId="0" xfId="0" applyFont="1" applyFill="1" applyBorder="1"/>
    <xf numFmtId="0" fontId="0" fillId="0" borderId="0" xfId="0" applyFont="1" applyFill="1"/>
    <xf numFmtId="0" fontId="27" fillId="2" borderId="0" xfId="0" applyFont="1" applyFill="1" applyBorder="1" applyAlignment="1">
      <alignment horizontal="center"/>
    </xf>
    <xf numFmtId="2" fontId="27" fillId="2" borderId="0" xfId="0" applyNumberFormat="1" applyFont="1" applyFill="1" applyBorder="1" applyAlignment="1">
      <alignment horizontal="center"/>
    </xf>
    <xf numFmtId="0" fontId="61" fillId="2" borderId="0" xfId="0" applyFont="1" applyFill="1" applyBorder="1" applyAlignment="1">
      <alignment horizontal="center" vertical="center"/>
    </xf>
    <xf numFmtId="0" fontId="27" fillId="2" borderId="0" xfId="0" applyFont="1" applyFill="1" applyBorder="1" applyAlignment="1">
      <alignment horizontal="center" wrapText="1"/>
    </xf>
    <xf numFmtId="1" fontId="2" fillId="3" borderId="0" xfId="0" applyNumberFormat="1" applyFont="1" applyFill="1" applyAlignment="1">
      <alignment horizontal="center" vertical="center"/>
    </xf>
    <xf numFmtId="0" fontId="45" fillId="3" borderId="0" xfId="0" applyFont="1" applyFill="1" applyBorder="1" applyAlignment="1" applyProtection="1">
      <alignment horizontal="center"/>
      <protection locked="0"/>
    </xf>
    <xf numFmtId="0" fontId="21" fillId="11" borderId="0" xfId="0" applyFont="1" applyFill="1" applyBorder="1" applyAlignment="1">
      <alignment horizontal="center"/>
    </xf>
    <xf numFmtId="0" fontId="0" fillId="2" borderId="0" xfId="0" applyFill="1" applyBorder="1" applyAlignment="1">
      <alignment horizontal="center" vertical="center" textRotation="90"/>
    </xf>
    <xf numFmtId="0" fontId="0" fillId="2" borderId="0" xfId="0" applyFill="1" applyBorder="1" applyAlignment="1">
      <alignment horizontal="center" vertical="center" textRotation="180"/>
    </xf>
    <xf numFmtId="0" fontId="50" fillId="3" borderId="13" xfId="0" applyFont="1" applyFill="1" applyBorder="1" applyAlignment="1">
      <alignment horizontal="center" vertical="center" wrapText="1"/>
    </xf>
    <xf numFmtId="0" fontId="50" fillId="3" borderId="3" xfId="0" applyFont="1" applyFill="1" applyBorder="1" applyAlignment="1">
      <alignment horizontal="center" vertical="center" wrapText="1"/>
    </xf>
    <xf numFmtId="0" fontId="50" fillId="3" borderId="14" xfId="0" applyFont="1" applyFill="1" applyBorder="1" applyAlignment="1">
      <alignment horizontal="center" vertical="center" wrapText="1"/>
    </xf>
    <xf numFmtId="0" fontId="9" fillId="19" borderId="22" xfId="0" applyFont="1" applyFill="1" applyBorder="1" applyAlignment="1">
      <alignment horizontal="center" vertical="top" wrapText="1" readingOrder="1"/>
    </xf>
    <xf numFmtId="0" fontId="9" fillId="19" borderId="23" xfId="0" applyFont="1" applyFill="1" applyBorder="1" applyAlignment="1">
      <alignment horizontal="center" vertical="top" wrapText="1" readingOrder="1"/>
    </xf>
    <xf numFmtId="0" fontId="9" fillId="19" borderId="24" xfId="0" applyFont="1" applyFill="1" applyBorder="1" applyAlignment="1">
      <alignment horizontal="center" vertical="top" wrapText="1" readingOrder="1"/>
    </xf>
    <xf numFmtId="0" fontId="38" fillId="3" borderId="38" xfId="0" applyFont="1" applyFill="1" applyBorder="1" applyAlignment="1">
      <alignment horizontal="center" vertical="center" wrapText="1"/>
    </xf>
    <xf numFmtId="0" fontId="38" fillId="3" borderId="39" xfId="0" applyFont="1" applyFill="1" applyBorder="1" applyAlignment="1">
      <alignment horizontal="center" vertical="center" wrapText="1"/>
    </xf>
    <xf numFmtId="0" fontId="38" fillId="3" borderId="40" xfId="0" applyFont="1" applyFill="1" applyBorder="1" applyAlignment="1">
      <alignment horizontal="center" vertical="center" wrapText="1"/>
    </xf>
    <xf numFmtId="0" fontId="36" fillId="3" borderId="0" xfId="0" applyFont="1" applyFill="1" applyBorder="1" applyAlignment="1" applyProtection="1">
      <alignment horizontal="center"/>
      <protection locked="0"/>
    </xf>
    <xf numFmtId="2" fontId="4" fillId="6" borderId="0" xfId="0"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20" fillId="2" borderId="16"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18" fillId="2" borderId="16" xfId="0" applyFont="1" applyFill="1" applyBorder="1" applyAlignment="1">
      <alignment horizontal="center" vertical="center" wrapText="1"/>
    </xf>
    <xf numFmtId="0" fontId="19" fillId="2" borderId="0" xfId="0" applyFont="1" applyFill="1" applyBorder="1" applyAlignment="1">
      <alignment horizontal="center" vertical="center"/>
    </xf>
    <xf numFmtId="0" fontId="19" fillId="2" borderId="16" xfId="0" applyFont="1" applyFill="1" applyBorder="1" applyAlignment="1">
      <alignment horizontal="center" vertical="center"/>
    </xf>
    <xf numFmtId="0" fontId="24" fillId="2" borderId="0" xfId="0" applyFont="1" applyFill="1" applyBorder="1" applyAlignment="1">
      <alignment horizontal="center" vertical="center"/>
    </xf>
    <xf numFmtId="0" fontId="24" fillId="2" borderId="16" xfId="0" applyFont="1" applyFill="1" applyBorder="1" applyAlignment="1">
      <alignment horizontal="center" vertical="center"/>
    </xf>
    <xf numFmtId="0" fontId="44" fillId="12" borderId="3" xfId="0" applyFont="1" applyFill="1" applyBorder="1" applyAlignment="1">
      <alignment horizontal="center" vertical="center" wrapText="1"/>
    </xf>
    <xf numFmtId="0" fontId="44" fillId="12" borderId="0" xfId="0" applyFont="1" applyFill="1" applyBorder="1" applyAlignment="1">
      <alignment horizontal="center" vertical="center" wrapText="1"/>
    </xf>
    <xf numFmtId="0" fontId="11" fillId="5" borderId="3" xfId="0" applyFont="1" applyFill="1" applyBorder="1" applyAlignment="1">
      <alignment horizontal="center" vertical="center"/>
    </xf>
    <xf numFmtId="0" fontId="11" fillId="5" borderId="14" xfId="0" applyFont="1" applyFill="1" applyBorder="1" applyAlignment="1">
      <alignment horizontal="center" vertical="center"/>
    </xf>
    <xf numFmtId="2" fontId="68" fillId="6" borderId="0" xfId="0" applyNumberFormat="1" applyFont="1" applyFill="1" applyBorder="1" applyAlignment="1">
      <alignment horizontal="center" vertical="center" wrapText="1"/>
    </xf>
    <xf numFmtId="0" fontId="11" fillId="11" borderId="3" xfId="0" applyFont="1" applyFill="1" applyBorder="1" applyAlignment="1">
      <alignment horizontal="center" vertical="center"/>
    </xf>
    <xf numFmtId="0" fontId="12" fillId="15" borderId="12" xfId="0" applyFont="1" applyFill="1" applyBorder="1" applyAlignment="1">
      <alignment horizontal="center" vertical="center" wrapText="1"/>
    </xf>
    <xf numFmtId="0" fontId="12" fillId="15" borderId="10" xfId="0" applyFont="1" applyFill="1" applyBorder="1" applyAlignment="1">
      <alignment horizontal="center" vertical="center" wrapText="1"/>
    </xf>
    <xf numFmtId="0" fontId="1" fillId="3" borderId="0" xfId="0" applyFont="1" applyFill="1" applyBorder="1" applyAlignment="1">
      <alignment horizontal="center" vertical="center" wrapText="1"/>
    </xf>
    <xf numFmtId="0" fontId="66" fillId="24" borderId="0" xfId="0" applyFont="1" applyFill="1" applyBorder="1" applyAlignment="1">
      <alignment horizontal="center" vertical="center" wrapText="1"/>
    </xf>
    <xf numFmtId="0" fontId="3" fillId="2" borderId="16" xfId="0" applyFont="1" applyFill="1" applyBorder="1" applyAlignment="1">
      <alignment horizontal="center"/>
    </xf>
    <xf numFmtId="0" fontId="34" fillId="2"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0" fontId="6" fillId="2" borderId="0" xfId="0" applyFont="1" applyFill="1" applyBorder="1" applyAlignment="1">
      <alignment horizontal="center" vertical="center"/>
    </xf>
    <xf numFmtId="0" fontId="6" fillId="2" borderId="16" xfId="0" applyFont="1" applyFill="1" applyBorder="1" applyAlignment="1">
      <alignment horizontal="center" vertical="center"/>
    </xf>
    <xf numFmtId="0" fontId="3" fillId="2" borderId="16" xfId="0" applyFont="1" applyFill="1" applyBorder="1" applyAlignment="1">
      <alignment horizontal="center" vertical="center"/>
    </xf>
    <xf numFmtId="0" fontId="30" fillId="16" borderId="0" xfId="0" applyFont="1" applyFill="1" applyBorder="1" applyAlignment="1">
      <alignment horizontal="left" vertical="center" wrapText="1"/>
    </xf>
    <xf numFmtId="0" fontId="30" fillId="16" borderId="16" xfId="0" applyFont="1" applyFill="1" applyBorder="1" applyAlignment="1">
      <alignment horizontal="left" vertical="center" wrapText="1"/>
    </xf>
    <xf numFmtId="0" fontId="10" fillId="12" borderId="3" xfId="0" applyFont="1" applyFill="1" applyBorder="1" applyAlignment="1">
      <alignment horizontal="center" vertical="center" wrapText="1"/>
    </xf>
    <xf numFmtId="0" fontId="10" fillId="12" borderId="3" xfId="0" applyFont="1" applyFill="1" applyBorder="1" applyAlignment="1">
      <alignment horizontal="center" vertical="center"/>
    </xf>
    <xf numFmtId="0" fontId="10" fillId="12" borderId="0" xfId="0" applyFont="1" applyFill="1" applyBorder="1" applyAlignment="1">
      <alignment horizontal="center" vertical="center"/>
    </xf>
    <xf numFmtId="0" fontId="37" fillId="3" borderId="0" xfId="0" applyFont="1" applyFill="1" applyAlignment="1">
      <alignment horizontal="center" vertical="top"/>
    </xf>
    <xf numFmtId="0" fontId="1" fillId="3" borderId="0" xfId="0" applyFont="1" applyFill="1" applyAlignment="1">
      <alignment horizontal="center"/>
    </xf>
    <xf numFmtId="0" fontId="60" fillId="3" borderId="0" xfId="0" applyFont="1" applyFill="1" applyAlignment="1">
      <alignment horizontal="center"/>
    </xf>
    <xf numFmtId="0" fontId="63" fillId="3" borderId="0" xfId="0" applyFont="1" applyFill="1" applyAlignment="1">
      <alignment horizontal="center" vertical="top"/>
    </xf>
    <xf numFmtId="0" fontId="2" fillId="3" borderId="0" xfId="0" applyFont="1" applyFill="1" applyAlignment="1">
      <alignment horizontal="right" vertical="center"/>
    </xf>
    <xf numFmtId="0" fontId="47" fillId="3" borderId="0" xfId="0" applyFont="1" applyFill="1" applyAlignment="1">
      <alignment horizontal="center" vertical="center" wrapText="1"/>
    </xf>
    <xf numFmtId="0" fontId="53" fillId="3" borderId="0" xfId="0" applyFont="1" applyFill="1" applyAlignment="1">
      <alignment horizontal="center"/>
    </xf>
    <xf numFmtId="0" fontId="47" fillId="3" borderId="0" xfId="0" applyFont="1" applyFill="1" applyAlignment="1">
      <alignment horizontal="center"/>
    </xf>
    <xf numFmtId="0" fontId="0" fillId="3" borderId="0" xfId="0" applyFill="1" applyAlignment="1">
      <alignment horizontal="center" wrapText="1"/>
    </xf>
    <xf numFmtId="2" fontId="58" fillId="3" borderId="0" xfId="0" applyNumberFormat="1" applyFont="1" applyFill="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0" fontId="0" fillId="0" borderId="0" xfId="0" applyAlignment="1">
      <alignment vertical="center" wrapText="1"/>
    </xf>
    <xf numFmtId="0" fontId="1" fillId="0" borderId="0" xfId="0" applyFont="1" applyAlignment="1">
      <alignment horizontal="center"/>
    </xf>
    <xf numFmtId="0" fontId="0" fillId="0" borderId="0" xfId="0" applyAlignment="1">
      <alignment horizontal="center" wrapText="1"/>
    </xf>
    <xf numFmtId="0" fontId="0" fillId="0" borderId="0" xfId="0" applyAlignment="1">
      <alignment horizontal="center" vertical="center" wrapText="1"/>
    </xf>
    <xf numFmtId="0" fontId="0" fillId="0" borderId="0" xfId="0" applyAlignment="1">
      <alignment horizontal="left"/>
    </xf>
  </cellXfs>
  <cellStyles count="2">
    <cellStyle name="Normal" xfId="0" builtinId="0"/>
    <cellStyle name="Porcentaje" xfId="1" builtinId="5"/>
  </cellStyles>
  <dxfs count="104">
    <dxf>
      <numFmt numFmtId="2" formatCode="0.00"/>
    </dxf>
    <dxf>
      <numFmt numFmtId="2" formatCode="0.00"/>
    </dxf>
    <dxf>
      <numFmt numFmtId="2" formatCode="0.00"/>
    </dxf>
    <dxf>
      <numFmt numFmtId="2" formatCode="0.00"/>
    </dxf>
    <dxf>
      <numFmt numFmtId="164" formatCode="0.0"/>
    </dxf>
    <dxf>
      <numFmt numFmtId="164" formatCode="0.0"/>
    </dxf>
    <dxf>
      <numFmt numFmtId="164" formatCode="0.0"/>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FF0000"/>
      </font>
      <fill>
        <patternFill>
          <bgColor theme="3" tint="0.79998168889431442"/>
        </patternFill>
      </fill>
    </dxf>
    <dxf>
      <font>
        <color rgb="FFFF0000"/>
      </font>
      <fill>
        <patternFill>
          <bgColor theme="3" tint="0.59996337778862885"/>
        </patternFill>
      </fill>
    </dxf>
    <dxf>
      <font>
        <color rgb="FFFF0000"/>
      </font>
      <fill>
        <patternFill>
          <bgColor theme="3" tint="0.59996337778862885"/>
        </patternFill>
      </fill>
    </dxf>
    <dxf>
      <font>
        <color rgb="FFFF0000"/>
      </font>
      <fill>
        <patternFill>
          <bgColor theme="3"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59996337778862885"/>
        </patternFill>
      </fill>
    </dxf>
    <dxf>
      <font>
        <color rgb="FFFF0000"/>
      </font>
      <fill>
        <patternFill>
          <bgColor theme="3" tint="0.7999816888943144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s>
  <tableStyles count="0" defaultTableStyle="TableStyleMedium2" defaultPivotStyle="PivotStyleLight16"/>
  <colors>
    <mruColors>
      <color rgb="FFFE5D26"/>
      <color rgb="FF4F4F4F"/>
      <color rgb="FF3366FF"/>
      <color rgb="FFF2C078"/>
      <color rgb="FFA0E5BB"/>
      <color rgb="FFFF8056"/>
      <color rgb="FFACD1FE"/>
      <color rgb="FFFF5050"/>
      <color rgb="FFFFDB75"/>
      <color rgb="FFBBB5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8.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9.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1.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2.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3.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6.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7.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8.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9.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0.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031174596343289"/>
          <c:y val="0.11703083566167133"/>
          <c:w val="0.60076425470698858"/>
          <c:h val="0.57240519121908173"/>
        </c:manualLayout>
      </c:layout>
      <c:barChart>
        <c:barDir val="bar"/>
        <c:grouping val="percentStacked"/>
        <c:varyColors val="0"/>
        <c:ser>
          <c:idx val="0"/>
          <c:order val="0"/>
          <c:tx>
            <c:v>Selected drivers</c:v>
          </c:tx>
          <c:spPr>
            <a:solidFill>
              <a:srgbClr val="0EA4B2"/>
            </a:solidFill>
            <a:ln>
              <a:solidFill>
                <a:srgbClr val="4E607A"/>
              </a:solidFill>
            </a:ln>
            <a:effectLst>
              <a:outerShdw blurRad="57150" dist="19050" dir="5400000" algn="ctr" rotWithShape="0">
                <a:srgbClr val="000000">
                  <a:alpha val="63000"/>
                </a:srgbClr>
              </a:outerShdw>
            </a:effectLst>
          </c:spPr>
          <c:invertIfNegative val="0"/>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'APPLIES-motivation'!$AS$8</c:f>
              <c:strCache>
                <c:ptCount val="1"/>
                <c:pt idx="0">
                  <c:v>Adoption drivers</c:v>
                </c:pt>
              </c:strCache>
            </c:strRef>
          </c:cat>
          <c:val>
            <c:numRef>
              <c:f>'APPLIES-motivation'!$AV$8</c:f>
              <c:numCache>
                <c:formatCode>General</c:formatCode>
                <c:ptCount val="1"/>
                <c:pt idx="0">
                  <c:v>0</c:v>
                </c:pt>
              </c:numCache>
            </c:numRef>
          </c:val>
          <c:extLst>
            <c:ext xmlns:c16="http://schemas.microsoft.com/office/drawing/2014/chart" uri="{C3380CC4-5D6E-409C-BE32-E72D297353CC}">
              <c16:uniqueId val="{00000000-57DA-485E-A685-8CBE7E59AB06}"/>
            </c:ext>
          </c:extLst>
        </c:ser>
        <c:ser>
          <c:idx val="1"/>
          <c:order val="1"/>
          <c:tx>
            <c:v>Non selected</c:v>
          </c:tx>
          <c:spPr>
            <a:solidFill>
              <a:schemeClr val="bg1">
                <a:lumMod val="95000"/>
              </a:schemeClr>
            </a:solidFill>
            <a:ln w="12700" cap="flat" cmpd="sng" algn="ctr">
              <a:solidFill>
                <a:schemeClr val="dk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'APPLIES-motivation'!$AS$8</c:f>
              <c:strCache>
                <c:ptCount val="1"/>
                <c:pt idx="0">
                  <c:v>Adoption drivers</c:v>
                </c:pt>
              </c:strCache>
            </c:strRef>
          </c:cat>
          <c:val>
            <c:numRef>
              <c:f>'APPLIES-motivation'!$AW$8</c:f>
              <c:numCache>
                <c:formatCode>General</c:formatCode>
                <c:ptCount val="1"/>
                <c:pt idx="0">
                  <c:v>18</c:v>
                </c:pt>
              </c:numCache>
            </c:numRef>
          </c:val>
          <c:extLst>
            <c:ext xmlns:c16="http://schemas.microsoft.com/office/drawing/2014/chart" uri="{C3380CC4-5D6E-409C-BE32-E72D297353CC}">
              <c16:uniqueId val="{00000001-57DA-485E-A685-8CBE7E59AB06}"/>
            </c:ext>
          </c:extLst>
        </c:ser>
        <c:dLbls>
          <c:showLegendKey val="0"/>
          <c:showVal val="0"/>
          <c:showCatName val="0"/>
          <c:showSerName val="0"/>
          <c:showPercent val="0"/>
          <c:showBubbleSize val="0"/>
        </c:dLbls>
        <c:gapWidth val="150"/>
        <c:overlap val="100"/>
        <c:axId val="92999680"/>
        <c:axId val="93001216"/>
      </c:barChart>
      <c:catAx>
        <c:axId val="9299968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419"/>
          </a:p>
        </c:txPr>
        <c:crossAx val="93001216"/>
        <c:crosses val="autoZero"/>
        <c:auto val="1"/>
        <c:lblAlgn val="ctr"/>
        <c:lblOffset val="100"/>
        <c:noMultiLvlLbl val="0"/>
      </c:catAx>
      <c:valAx>
        <c:axId val="93001216"/>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419"/>
          </a:p>
        </c:txPr>
        <c:crossAx val="92999680"/>
        <c:crosses val="autoZero"/>
        <c:crossBetween val="between"/>
        <c:majorUnit val="0.2"/>
      </c:valAx>
      <c:spPr>
        <a:noFill/>
        <a:ln>
          <a:noFill/>
        </a:ln>
        <a:effectLst/>
      </c:spPr>
    </c:plotArea>
    <c:legend>
      <c:legendPos val="b"/>
      <c:layout>
        <c:manualLayout>
          <c:xMode val="edge"/>
          <c:yMode val="edge"/>
          <c:x val="0.26940943319606758"/>
          <c:y val="0.82115275798957155"/>
          <c:w val="0.72648126821902059"/>
          <c:h val="0.1610620221133521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rgbClr val="0C8A9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2FE2-420F-8BB1-866E4CAAA958}"/>
              </c:ext>
            </c:extLst>
          </c:dPt>
          <c:dPt>
            <c:idx val="1"/>
            <c:bubble3D val="0"/>
            <c:explosion val="3"/>
            <c:spPr>
              <a:solidFill>
                <a:srgbClr val="12CCE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2FE2-420F-8BB1-866E4CAAA958}"/>
              </c:ext>
            </c:extLst>
          </c:dPt>
          <c:dPt>
            <c:idx val="2"/>
            <c:bubble3D val="0"/>
            <c:explosion val="8"/>
            <c:spPr>
              <a:solidFill>
                <a:srgbClr val="E1F7FF"/>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2FE2-420F-8BB1-866E4CAAA958}"/>
              </c:ext>
            </c:extLst>
          </c:dPt>
          <c:dPt>
            <c:idx val="3"/>
            <c:bubble3D val="0"/>
            <c:explosion val="13"/>
            <c:spPr>
              <a:solidFill>
                <a:srgbClr val="ACD1FE"/>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2FE2-420F-8BB1-866E4CAAA958}"/>
              </c:ext>
            </c:extLst>
          </c:dPt>
          <c:dLbls>
            <c:dLbl>
              <c:idx val="0"/>
              <c:layout>
                <c:manualLayout>
                  <c:x val="0.1662708170190095"/>
                  <c:y val="4.2042038065589551E-3"/>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2FE2-420F-8BB1-866E4CAAA958}"/>
                </c:ext>
              </c:extLst>
            </c:dLbl>
            <c:dLbl>
              <c:idx val="1"/>
              <c:layout>
                <c:manualLayout>
                  <c:x val="-2.4386386496121393E-2"/>
                  <c:y val="0.19339337510171209"/>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2FE2-420F-8BB1-866E4CAAA958}"/>
                </c:ext>
              </c:extLst>
            </c:dLbl>
            <c:dLbl>
              <c:idx val="2"/>
              <c:layout>
                <c:manualLayout>
                  <c:x val="8.867776907680508E-3"/>
                  <c:y val="0.30690687787880355"/>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2FE2-420F-8BB1-866E4CAAA958}"/>
                </c:ext>
              </c:extLst>
            </c:dLbl>
            <c:dLbl>
              <c:idx val="3"/>
              <c:layout>
                <c:manualLayout>
                  <c:x val="-0.3879652397110222"/>
                  <c:y val="8.4084076131179103E-3"/>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2FE2-420F-8BB1-866E4CAAA958}"/>
                </c:ext>
              </c:extLst>
            </c:dLbl>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'APPLIES-motivation'!$AX$4:$AX$7</c:f>
              <c:strCache>
                <c:ptCount val="4"/>
                <c:pt idx="0">
                  <c:v>Strength-based drivers</c:v>
                </c:pt>
                <c:pt idx="1">
                  <c:v>Opportunity-based drivers</c:v>
                </c:pt>
                <c:pt idx="2">
                  <c:v>Weakness-based drivers</c:v>
                </c:pt>
                <c:pt idx="3">
                  <c:v>Threat-based drivers</c:v>
                </c:pt>
              </c:strCache>
            </c:strRef>
          </c:cat>
          <c:val>
            <c:numRef>
              <c:f>'APPLIES-motivation'!$AY$4:$AY$7</c:f>
              <c:numCache>
                <c:formatCode>0%</c:formatCode>
                <c:ptCount val="4"/>
                <c:pt idx="0">
                  <c:v>0</c:v>
                </c:pt>
                <c:pt idx="1">
                  <c:v>0</c:v>
                </c:pt>
                <c:pt idx="2">
                  <c:v>0</c:v>
                </c:pt>
                <c:pt idx="3">
                  <c:v>0</c:v>
                </c:pt>
              </c:numCache>
            </c:numRef>
          </c:val>
          <c:extLst>
            <c:ext xmlns:c16="http://schemas.microsoft.com/office/drawing/2014/chart" uri="{C3380CC4-5D6E-409C-BE32-E72D297353CC}">
              <c16:uniqueId val="{00000000-2FE2-420F-8BB1-866E4CAAA958}"/>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2004956767263755"/>
          <c:y val="6.1286871465688522E-2"/>
          <c:w val="0.38946622190330904"/>
          <c:h val="0.82177320326540082"/>
        </c:manualLayout>
      </c:layout>
      <c:barChart>
        <c:barDir val="bar"/>
        <c:grouping val="clustered"/>
        <c:varyColors val="0"/>
        <c:ser>
          <c:idx val="0"/>
          <c:order val="0"/>
          <c:tx>
            <c:strRef>
              <c:f>'1.Motiv instFistV'!$AC$4</c:f>
              <c:strCache>
                <c:ptCount val="1"/>
                <c:pt idx="0">
                  <c:v>Match %</c:v>
                </c:pt>
              </c:strCache>
            </c:strRef>
          </c:tx>
          <c:spPr>
            <a:solidFill>
              <a:srgbClr val="0C8A96"/>
            </a:solidFill>
            <a:ln>
              <a:noFill/>
            </a:ln>
            <a:effectLst/>
          </c:spPr>
          <c:invertIfNegative val="0"/>
          <c:dLbls>
            <c:dLbl>
              <c:idx val="0"/>
              <c:layout>
                <c:manualLayout>
                  <c:x val="0"/>
                  <c:y val="-1.3228322363482684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15A-4805-A359-539B74719B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'1.Motiv instFistV'!$AB$5:$AB$10</c:f>
              <c:strCache>
                <c:ptCount val="6"/>
                <c:pt idx="0">
                  <c:v>Reuse opportunities</c:v>
                </c:pt>
                <c:pt idx="1">
                  <c:v>Discomfort - lack of systematic and planned reuse among products</c:v>
                </c:pt>
                <c:pt idx="2">
                  <c:v>Discomfort - product quality weaknesses</c:v>
                </c:pt>
                <c:pt idx="3">
                  <c:v>Discomfort - management problems</c:v>
                </c:pt>
                <c:pt idx="4">
                  <c:v>Organizational challenges</c:v>
                </c:pt>
                <c:pt idx="5">
                  <c:v>Organizational opportunities</c:v>
                </c:pt>
              </c:strCache>
            </c:strRef>
          </c:cat>
          <c:val>
            <c:numRef>
              <c:f>'1.Motiv instFistV'!$AC$5:$AC$10</c:f>
              <c:numCache>
                <c:formatCode>0%</c:formatCode>
                <c:ptCount val="6"/>
                <c:pt idx="0">
                  <c:v>0.4</c:v>
                </c:pt>
                <c:pt idx="1">
                  <c:v>0</c:v>
                </c:pt>
                <c:pt idx="2">
                  <c:v>0</c:v>
                </c:pt>
                <c:pt idx="3">
                  <c:v>0</c:v>
                </c:pt>
                <c:pt idx="4">
                  <c:v>0</c:v>
                </c:pt>
                <c:pt idx="5">
                  <c:v>0</c:v>
                </c:pt>
              </c:numCache>
            </c:numRef>
          </c:val>
          <c:extLst>
            <c:ext xmlns:c16="http://schemas.microsoft.com/office/drawing/2014/chart" uri="{C3380CC4-5D6E-409C-BE32-E72D297353CC}">
              <c16:uniqueId val="{00000001-C15A-4805-A359-539B74719B31}"/>
            </c:ext>
          </c:extLst>
        </c:ser>
        <c:dLbls>
          <c:showLegendKey val="0"/>
          <c:showVal val="0"/>
          <c:showCatName val="0"/>
          <c:showSerName val="0"/>
          <c:showPercent val="0"/>
          <c:showBubbleSize val="0"/>
        </c:dLbls>
        <c:gapWidth val="100"/>
        <c:axId val="92269184"/>
        <c:axId val="93589888"/>
      </c:barChart>
      <c:catAx>
        <c:axId val="92269184"/>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s-419"/>
          </a:p>
        </c:txPr>
        <c:crossAx val="93589888"/>
        <c:crosses val="autoZero"/>
        <c:auto val="1"/>
        <c:lblAlgn val="ctr"/>
        <c:lblOffset val="100"/>
        <c:noMultiLvlLbl val="0"/>
      </c:catAx>
      <c:valAx>
        <c:axId val="93589888"/>
        <c:scaling>
          <c:orientation val="minMax"/>
          <c:max val="1"/>
        </c:scaling>
        <c:delete val="1"/>
        <c:axPos val="b"/>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crossAx val="92269184"/>
        <c:crosses val="autoZero"/>
        <c:crossBetween val="between"/>
        <c:majorUnit val="0.2"/>
      </c:valAx>
      <c:spPr>
        <a:noFill/>
        <a:ln>
          <a:noFill/>
        </a:ln>
        <a:effectLst/>
      </c:spPr>
    </c:plotArea>
    <c:plotVisOnly val="1"/>
    <c:dispBlanksAs val="gap"/>
    <c:showDLblsOverMax val="0"/>
  </c:chart>
  <c:spPr>
    <a:solidFill>
      <a:schemeClr val="bg1"/>
    </a:solidFill>
    <a:ln w="38100"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2004956767263755"/>
          <c:y val="6.1286871465688522E-2"/>
          <c:w val="0.38946622190330904"/>
          <c:h val="0.82177320326540082"/>
        </c:manualLayout>
      </c:layout>
      <c:barChart>
        <c:barDir val="bar"/>
        <c:grouping val="clustered"/>
        <c:varyColors val="0"/>
        <c:ser>
          <c:idx val="0"/>
          <c:order val="0"/>
          <c:tx>
            <c:strRef>
              <c:f>'1.Motiv instFistV'!$AC$4</c:f>
              <c:strCache>
                <c:ptCount val="1"/>
                <c:pt idx="0">
                  <c:v>Match %</c:v>
                </c:pt>
              </c:strCache>
            </c:strRef>
          </c:tx>
          <c:spPr>
            <a:solidFill>
              <a:srgbClr val="0C8A96"/>
            </a:solidFill>
            <a:ln>
              <a:noFill/>
            </a:ln>
            <a:effectLst/>
          </c:spPr>
          <c:invertIfNegative val="0"/>
          <c:dLbls>
            <c:dLbl>
              <c:idx val="0"/>
              <c:layout>
                <c:manualLayout>
                  <c:x val="0"/>
                  <c:y val="-1.3228322363482684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8F7-49EC-98AF-E99BF1595A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'1.Motiv instFistV'!$AB$5:$AB$10</c:f>
              <c:strCache>
                <c:ptCount val="6"/>
                <c:pt idx="0">
                  <c:v>Reuse opportunities</c:v>
                </c:pt>
                <c:pt idx="1">
                  <c:v>Discomfort - lack of systematic and planned reuse among products</c:v>
                </c:pt>
                <c:pt idx="2">
                  <c:v>Discomfort - product quality weaknesses</c:v>
                </c:pt>
                <c:pt idx="3">
                  <c:v>Discomfort - management problems</c:v>
                </c:pt>
                <c:pt idx="4">
                  <c:v>Organizational challenges</c:v>
                </c:pt>
                <c:pt idx="5">
                  <c:v>Organizational opportunities</c:v>
                </c:pt>
              </c:strCache>
            </c:strRef>
          </c:cat>
          <c:val>
            <c:numRef>
              <c:f>'1.Motiv instFistV'!$AC$5:$AC$10</c:f>
              <c:numCache>
                <c:formatCode>0%</c:formatCode>
                <c:ptCount val="6"/>
                <c:pt idx="0">
                  <c:v>0.4</c:v>
                </c:pt>
                <c:pt idx="1">
                  <c:v>0</c:v>
                </c:pt>
                <c:pt idx="2">
                  <c:v>0</c:v>
                </c:pt>
                <c:pt idx="3">
                  <c:v>0</c:v>
                </c:pt>
                <c:pt idx="4">
                  <c:v>0</c:v>
                </c:pt>
                <c:pt idx="5">
                  <c:v>0</c:v>
                </c:pt>
              </c:numCache>
            </c:numRef>
          </c:val>
          <c:extLst>
            <c:ext xmlns:c16="http://schemas.microsoft.com/office/drawing/2014/chart" uri="{C3380CC4-5D6E-409C-BE32-E72D297353CC}">
              <c16:uniqueId val="{00000001-A8F7-49EC-98AF-E99BF1595A39}"/>
            </c:ext>
          </c:extLst>
        </c:ser>
        <c:dLbls>
          <c:showLegendKey val="0"/>
          <c:showVal val="0"/>
          <c:showCatName val="0"/>
          <c:showSerName val="0"/>
          <c:showPercent val="0"/>
          <c:showBubbleSize val="0"/>
        </c:dLbls>
        <c:gapWidth val="100"/>
        <c:axId val="93612672"/>
        <c:axId val="93618560"/>
      </c:barChart>
      <c:catAx>
        <c:axId val="9361267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s-419"/>
          </a:p>
        </c:txPr>
        <c:crossAx val="93618560"/>
        <c:crosses val="autoZero"/>
        <c:auto val="1"/>
        <c:lblAlgn val="ctr"/>
        <c:lblOffset val="100"/>
        <c:noMultiLvlLbl val="0"/>
      </c:catAx>
      <c:valAx>
        <c:axId val="93618560"/>
        <c:scaling>
          <c:orientation val="minMax"/>
          <c:max val="1"/>
        </c:scaling>
        <c:delete val="1"/>
        <c:axPos val="b"/>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crossAx val="93612672"/>
        <c:crosses val="autoZero"/>
        <c:crossBetween val="between"/>
        <c:majorUnit val="0.2"/>
      </c:valAx>
      <c:spPr>
        <a:noFill/>
        <a:ln>
          <a:noFill/>
        </a:ln>
        <a:effectLst/>
      </c:spPr>
    </c:plotArea>
    <c:plotVisOnly val="1"/>
    <c:dispBlanksAs val="gap"/>
    <c:showDLblsOverMax val="0"/>
  </c:chart>
  <c:spPr>
    <a:solidFill>
      <a:schemeClr val="bg1"/>
    </a:solidFill>
    <a:ln w="38100"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83024343204256E-2"/>
          <c:y val="7.4278195413939541E-2"/>
          <c:w val="0.7675087821341926"/>
          <c:h val="0.81125302744775452"/>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B42-4EDB-A939-4DB7956180BE}"/>
              </c:ext>
            </c:extLst>
          </c:dPt>
          <c:dLbls>
            <c:dLbl>
              <c:idx val="0"/>
              <c:layout>
                <c:manualLayout>
                  <c:x val="6.0077903281882941E-3"/>
                  <c:y val="0.19394655135614466"/>
                </c:manualLayout>
              </c:layout>
              <c:spPr>
                <a:solidFill>
                  <a:sysClr val="window" lastClr="FFFFFF"/>
                </a:solidFill>
                <a:ln>
                  <a:solidFill>
                    <a:sysClr val="window" lastClr="FFFFFF">
                      <a:lumMod val="50000"/>
                    </a:sysClr>
                  </a:solidFill>
                </a:ln>
                <a:effectLst/>
              </c:spPr>
              <c:txPr>
                <a:bodyPr rot="0" spcFirstLastPara="1" vertOverflow="clip" horzOverflow="clip" vert="horz" wrap="square" lIns="38100" tIns="19050" rIns="38100" bIns="19050" anchor="ctr" anchorCtr="0">
                  <a:no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7293508512058958"/>
                      <c:h val="0.12630977995197265"/>
                    </c:manualLayout>
                  </c15:layout>
                </c:ext>
                <c:ext xmlns:c16="http://schemas.microsoft.com/office/drawing/2014/chart" uri="{C3380CC4-5D6E-409C-BE32-E72D297353CC}">
                  <c16:uniqueId val="{00000001-BB42-4EDB-A939-4DB7956180BE}"/>
                </c:ext>
              </c:extLst>
            </c:dLbl>
            <c:spPr>
              <a:solidFill>
                <a:schemeClr val="bg1"/>
              </a:solidFill>
              <a:ln>
                <a:solidFill>
                  <a:schemeClr val="bg1">
                    <a:lumMod val="50000"/>
                  </a:schemeClr>
                </a:solidFill>
              </a:ln>
              <a:effectLst/>
            </c:spPr>
            <c:txPr>
              <a:bodyPr rot="0" spcFirstLastPara="1" vertOverflow="clip" horzOverflow="clip" vert="horz" wrap="square" lIns="38100" tIns="19050" rIns="38100" bIns="19050" anchor="ctr" anchorCtr="0">
                <a:sp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02-BB42-4EDB-A939-4DB7956180BE}"/>
            </c:ext>
          </c:extLst>
        </c:ser>
        <c:ser>
          <c:idx val="1"/>
          <c:order val="1"/>
          <c:tx>
            <c:strRef>
              <c:f>Data_preparationResults!#REF!</c:f>
              <c:strCache>
                <c:ptCount val="1"/>
                <c:pt idx="0">
                  <c:v>#REF!</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BB42-4EDB-A939-4DB7956180BE}"/>
              </c:ext>
            </c:extLst>
          </c:dPt>
          <c:dLbls>
            <c:dLbl>
              <c:idx val="0"/>
              <c:layout>
                <c:manualLayout>
                  <c:x val="-0.21393728927303757"/>
                  <c:y val="-5.35840165843385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5646451701582323"/>
                      <c:h val="0.1140251215643274"/>
                    </c:manualLayout>
                  </c15:layout>
                </c:ext>
                <c:ext xmlns:c16="http://schemas.microsoft.com/office/drawing/2014/chart" uri="{C3380CC4-5D6E-409C-BE32-E72D297353CC}">
                  <c16:uniqueId val="{00000004-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05-BB42-4EDB-A939-4DB7956180BE}"/>
            </c:ext>
          </c:extLst>
        </c:ser>
        <c:ser>
          <c:idx val="2"/>
          <c:order val="2"/>
          <c:tx>
            <c:strRef>
              <c:f>Data_preparationResults!$AB$12</c:f>
              <c:strCache>
                <c:ptCount val="1"/>
                <c:pt idx="0">
                  <c:v>Openness</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BB42-4EDB-A939-4DB7956180BE}"/>
              </c:ext>
            </c:extLst>
          </c:dPt>
          <c:dLbls>
            <c:dLbl>
              <c:idx val="0"/>
              <c:layout>
                <c:manualLayout>
                  <c:x val="4.4544820319631792E-2"/>
                  <c:y val="4.2294513012461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7252487028574051"/>
                      <c:h val="0.12647534227512605"/>
                    </c:manualLayout>
                  </c15:layout>
                </c:ext>
                <c:ext xmlns:c16="http://schemas.microsoft.com/office/drawing/2014/chart" uri="{C3380CC4-5D6E-409C-BE32-E72D297353CC}">
                  <c16:uniqueId val="{00000007-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08-BB42-4EDB-A939-4DB7956180BE}"/>
            </c:ext>
          </c:extLst>
        </c:ser>
        <c:ser>
          <c:idx val="4"/>
          <c:order val="3"/>
          <c:tx>
            <c:strRef>
              <c:f>Data_preparationResults!$AB$14</c:f>
              <c:strCache>
                <c:ptCount val="1"/>
                <c:pt idx="0">
                  <c:v>Process discipline</c:v>
                </c:pt>
              </c:strCache>
            </c:strRef>
          </c:tx>
          <c:spPr>
            <a:ln w="19050" cap="rnd">
              <a:solidFill>
                <a:schemeClr val="accent5"/>
              </a:solidFill>
              <a:round/>
            </a:ln>
            <a:effectLst/>
          </c:spPr>
          <c:marker>
            <c:symbol val="star"/>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BB42-4EDB-A939-4DB7956180BE}"/>
              </c:ext>
            </c:extLst>
          </c:dPt>
          <c:dLbls>
            <c:dLbl>
              <c:idx val="0"/>
              <c:layout>
                <c:manualLayout>
                  <c:x val="4.7252501826311182E-2"/>
                  <c:y val="-5.43454563318765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0E-BB42-4EDB-A939-4DB7956180BE}"/>
            </c:ext>
          </c:extLst>
        </c:ser>
        <c:ser>
          <c:idx val="5"/>
          <c:order val="4"/>
          <c:tx>
            <c:strRef>
              <c:f>Data_preparationResults!$AB$15</c:f>
              <c:strCache>
                <c:ptCount val="1"/>
                <c:pt idx="0">
                  <c:v>Commitment of key actors</c:v>
                </c:pt>
              </c:strCache>
            </c:strRef>
          </c:tx>
          <c:spPr>
            <a:ln w="19050" cap="rnd">
              <a:solidFill>
                <a:schemeClr val="accent6"/>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BB42-4EDB-A939-4DB7956180BE}"/>
              </c:ext>
            </c:extLst>
          </c:dPt>
          <c:dLbls>
            <c:dLbl>
              <c:idx val="0"/>
              <c:layout>
                <c:manualLayout>
                  <c:x val="2.0567786682047826E-2"/>
                  <c:y val="-5.7485336870330708E-2"/>
                </c:manualLayout>
              </c:layout>
              <c:spPr>
                <a:solidFill>
                  <a:sysClr val="window" lastClr="FFFFFF"/>
                </a:solidFill>
                <a:ln>
                  <a:noFill/>
                </a:ln>
                <a:effectLst/>
              </c:spPr>
              <c:txPr>
                <a:bodyPr rot="0" spcFirstLastPara="1" vertOverflow="ellipsis" vert="horz" wrap="square" lIns="38100" tIns="19050" rIns="38100" bIns="19050" anchor="ctr" anchorCtr="0">
                  <a:no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9121166611230012"/>
                      <c:h val="0.10194321133239448"/>
                    </c:manualLayout>
                  </c15:layout>
                </c:ext>
                <c:ext xmlns:c16="http://schemas.microsoft.com/office/drawing/2014/chart" uri="{C3380CC4-5D6E-409C-BE32-E72D297353CC}">
                  <c16:uniqueId val="{00000010-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11-BB42-4EDB-A939-4DB7956180BE}"/>
            </c:ext>
          </c:extLst>
        </c:ser>
        <c:ser>
          <c:idx val="6"/>
          <c:order val="5"/>
          <c:tx>
            <c:strRef>
              <c:f>Data_preparationResults!$AB$13</c:f>
              <c:strCache>
                <c:ptCount val="1"/>
                <c:pt idx="0">
                  <c:v>Domain knowledge</c:v>
                </c:pt>
              </c:strCache>
            </c:strRef>
          </c:tx>
          <c:spPr>
            <a:ln w="19050" cap="rnd">
              <a:solidFill>
                <a:schemeClr val="accent1">
                  <a:lumMod val="60000"/>
                </a:schemeClr>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BB42-4EDB-A939-4DB7956180BE}"/>
              </c:ext>
            </c:extLst>
          </c:dPt>
          <c:dLbls>
            <c:dLbl>
              <c:idx val="0"/>
              <c:layout>
                <c:manualLayout>
                  <c:x val="0.22077313044251651"/>
                  <c:y val="5.6888212422895608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BB42-4EDB-A939-4DB7956180B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14-BB42-4EDB-A939-4DB7956180BE}"/>
            </c:ext>
          </c:extLst>
        </c:ser>
        <c:ser>
          <c:idx val="7"/>
          <c:order val="6"/>
          <c:tx>
            <c:strRef>
              <c:f>Data_preparationResults!$AB$17</c:f>
              <c:strCache>
                <c:ptCount val="1"/>
                <c:pt idx="0">
                  <c:v>Organizational support</c:v>
                </c:pt>
              </c:strCache>
            </c:strRef>
          </c:tx>
          <c:spPr>
            <a:ln w="19050" cap="rnd">
              <a:solidFill>
                <a:schemeClr val="accent2">
                  <a:lumMod val="60000"/>
                </a:schemeClr>
              </a:solidFill>
              <a:round/>
            </a:ln>
            <a:effectLst/>
          </c:spPr>
          <c:marker>
            <c:symbol val="star"/>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BB42-4EDB-A939-4DB7956180BE}"/>
              </c:ext>
            </c:extLst>
          </c:dPt>
          <c:dLbls>
            <c:dLbl>
              <c:idx val="0"/>
              <c:layout>
                <c:manualLayout>
                  <c:x val="0.13585410263038744"/>
                  <c:y val="7.8390788417516719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BB42-4EDB-A939-4DB7956180BE}"/>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7-BB42-4EDB-A939-4DB7956180BE}"/>
            </c:ext>
          </c:extLst>
        </c:ser>
        <c:ser>
          <c:idx val="8"/>
          <c:order val="7"/>
          <c:tx>
            <c:strRef>
              <c:f>Data_preparationResults!$AB$18</c:f>
              <c:strCache>
                <c:ptCount val="1"/>
                <c:pt idx="0">
                  <c:v>Product line awareness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0-BB42-4EDB-A939-4DB7956180BE}"/>
              </c:ext>
            </c:extLst>
          </c:dPt>
          <c:dLbls>
            <c:dLbl>
              <c:idx val="0"/>
              <c:layout>
                <c:manualLayout>
                  <c:x val="0.10408992897669961"/>
                  <c:y val="0.10073637834588706"/>
                </c:manualLayout>
              </c:layout>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20-BB42-4EDB-A939-4DB7956180BE}"/>
                </c:ext>
              </c:extLst>
            </c:dLbl>
            <c:spPr>
              <a:solidFill>
                <a:schemeClr val="bg1"/>
              </a:solid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8-BB42-4EDB-A939-4DB7956180BE}"/>
            </c:ext>
          </c:extLst>
        </c:ser>
        <c:ser>
          <c:idx val="9"/>
          <c:order val="8"/>
          <c:tx>
            <c:strRef>
              <c:f>Data_preparationResults!$AB$19</c:f>
              <c:strCache>
                <c:ptCount val="1"/>
                <c:pt idx="0">
                  <c:v> Degree of control over product specification</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1-BB42-4EDB-A939-4DB7956180BE}"/>
              </c:ext>
            </c:extLst>
          </c:dPt>
          <c:dLbls>
            <c:dLbl>
              <c:idx val="0"/>
              <c:layout>
                <c:manualLayout>
                  <c:x val="5.6481493200792127E-2"/>
                  <c:y val="-0.1003540916939286"/>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1-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9-BB42-4EDB-A939-4DB7956180BE}"/>
            </c:ext>
          </c:extLst>
        </c:ser>
        <c:ser>
          <c:idx val="10"/>
          <c:order val="9"/>
          <c:tx>
            <c:strRef>
              <c:f>Data_preparationResults!$AB$20</c:f>
              <c:strCache>
                <c:ptCount val="1"/>
                <c:pt idx="0">
                  <c:v>Potential products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2-BB42-4EDB-A939-4DB7956180BE}"/>
              </c:ext>
            </c:extLst>
          </c:dPt>
          <c:dLbls>
            <c:dLbl>
              <c:idx val="0"/>
              <c:layout>
                <c:manualLayout>
                  <c:x val="-0.19294721760865374"/>
                  <c:y val="1.7066716145062093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2-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A-BB42-4EDB-A939-4DB7956180BE}"/>
            </c:ext>
          </c:extLst>
        </c:ser>
        <c:ser>
          <c:idx val="11"/>
          <c:order val="10"/>
          <c:tx>
            <c:strRef>
              <c:f>Data_preparationResults!#REF!</c:f>
              <c:strCache>
                <c:ptCount val="1"/>
                <c:pt idx="0">
                  <c:v>#REF!</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3-BB42-4EDB-A939-4DB7956180BE}"/>
              </c:ext>
            </c:extLst>
          </c:dPt>
          <c:dLbls>
            <c:dLbl>
              <c:idx val="0"/>
              <c:layout>
                <c:manualLayout>
                  <c:x val="6.6812368160867941E-2"/>
                  <c:y val="-0.1173461092215188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3-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1B-BB42-4EDB-A939-4DB7956180BE}"/>
            </c:ext>
          </c:extLst>
        </c:ser>
        <c:ser>
          <c:idx val="12"/>
          <c:order val="11"/>
          <c:tx>
            <c:strRef>
              <c:f>Data_preparationResults!$AB$21</c:f>
              <c:strCache>
                <c:ptCount val="1"/>
                <c:pt idx="0">
                  <c:v>Commonality and variability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4-BB42-4EDB-A939-4DB7956180BE}"/>
              </c:ext>
            </c:extLst>
          </c:dPt>
          <c:dLbls>
            <c:dLbl>
              <c:idx val="0"/>
              <c:layout>
                <c:manualLayout>
                  <c:x val="-9.981287487982303E-2"/>
                  <c:y val="-0.10615922766127757"/>
                </c:manualLayout>
              </c:layout>
              <c:spPr>
                <a:solidFill>
                  <a:schemeClr val="bg1"/>
                </a:solidFill>
                <a:ln>
                  <a:noFill/>
                </a:ln>
                <a:effectLst/>
              </c:spPr>
              <c:txPr>
                <a:bodyPr wrap="square" lIns="38100" tIns="19050" rIns="38100" bIns="19050" anchor="ctr">
                  <a:spAutoFit/>
                </a:bodyPr>
                <a:lstStyle/>
                <a:p>
                  <a:pPr>
                    <a:defRPr sz="900"/>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BB42-4EDB-A939-4DB7956180BE}"/>
                </c:ext>
              </c:extLst>
            </c:dLbl>
            <c:spPr>
              <a:noFill/>
              <a:ln>
                <a:noFill/>
              </a:ln>
              <a:effectLst/>
            </c:spPr>
            <c:txPr>
              <a:bodyPr wrap="square" lIns="38100" tIns="19050" rIns="38100" bIns="19050" anchor="ctr">
                <a:spAutoFit/>
              </a:bodyPr>
              <a:lstStyle/>
              <a:p>
                <a:pPr>
                  <a:defRPr sz="900"/>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1C-BB42-4EDB-A939-4DB7956180BE}"/>
            </c:ext>
          </c:extLst>
        </c:ser>
        <c:ser>
          <c:idx val="13"/>
          <c:order val="12"/>
          <c:tx>
            <c:strRef>
              <c:f>Data_preparationResults!$AB$22</c:f>
              <c:strCache>
                <c:ptCount val="1"/>
                <c:pt idx="0">
                  <c:v>Software engineering capability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5-BB42-4EDB-A939-4DB7956180BE}"/>
              </c:ext>
            </c:extLst>
          </c:dPt>
          <c:dLbls>
            <c:dLbl>
              <c:idx val="0"/>
              <c:layout>
                <c:manualLayout>
                  <c:x val="-0.19344481548524592"/>
                  <c:y val="5.1561721324831555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1D-BB42-4EDB-A939-4DB7956180BE}"/>
            </c:ext>
          </c:extLst>
        </c:ser>
        <c:ser>
          <c:idx val="14"/>
          <c:order val="13"/>
          <c:tx>
            <c:strRef>
              <c:f>Data_preparationResults!$AB$23</c:f>
              <c:strCache>
                <c:ptCount val="1"/>
                <c:pt idx="0">
                  <c:v>Reuse potential</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6-BB42-4EDB-A939-4DB7956180BE}"/>
              </c:ext>
            </c:extLst>
          </c:dPt>
          <c:dLbls>
            <c:dLbl>
              <c:idx val="0"/>
              <c:layout>
                <c:manualLayout>
                  <c:x val="5.3101423006289415E-2"/>
                  <c:y val="0.17341028629050254"/>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6-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1E-BB42-4EDB-A939-4DB7956180BE}"/>
            </c:ext>
          </c:extLst>
        </c:ser>
        <c:ser>
          <c:idx val="15"/>
          <c:order val="14"/>
          <c:tx>
            <c:strRef>
              <c:f>Data_preparationResults!$AB$24</c:f>
              <c:strCache>
                <c:ptCount val="1"/>
                <c:pt idx="0">
                  <c:v>Reuse aptitute</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7-BB42-4EDB-A939-4DB7956180BE}"/>
              </c:ext>
            </c:extLst>
          </c:dPt>
          <c:dLbls>
            <c:dLbl>
              <c:idx val="0"/>
              <c:layout>
                <c:manualLayout>
                  <c:x val="-0.26402991879325582"/>
                  <c:y val="4.7386063464817003E-2"/>
                </c:manualLayout>
              </c:layout>
              <c:spPr>
                <a:solidFill>
                  <a:sysClr val="window" lastClr="FFFFFF"/>
                </a:solidFill>
                <a:ln>
                  <a:solidFill>
                    <a:sysClr val="window" lastClr="FFFFFF">
                      <a:lumMod val="65000"/>
                    </a:sysClr>
                  </a:solidFill>
                </a:ln>
                <a:effectLst/>
              </c:spPr>
              <c:txPr>
                <a:bodyPr wrap="square" lIns="38100" tIns="19050" rIns="38100" bIns="19050" anchor="ctr">
                  <a:noAutofit/>
                </a:bodyPr>
                <a:lstStyle/>
                <a:p>
                  <a:pPr>
                    <a:defRPr sz="900">
                      <a:solidFill>
                        <a:schemeClr val="tx1">
                          <a:lumMod val="65000"/>
                          <a:lumOff val="35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6114700151197855"/>
                      <c:h val="9.3624370881911098E-2"/>
                    </c:manualLayout>
                  </c15:layout>
                </c:ext>
                <c:ext xmlns:c16="http://schemas.microsoft.com/office/drawing/2014/chart" uri="{C3380CC4-5D6E-409C-BE32-E72D297353CC}">
                  <c16:uniqueId val="{00000027-BB42-4EDB-A939-4DB7956180BE}"/>
                </c:ext>
              </c:extLst>
            </c:dLbl>
            <c:spPr>
              <a:solidFill>
                <a:sysClr val="window" lastClr="FFFFFF"/>
              </a:solidFill>
              <a:ln>
                <a:solidFill>
                  <a:schemeClr val="bg1">
                    <a:lumMod val="65000"/>
                  </a:scheme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1F-BB42-4EDB-A939-4DB7956180BE}"/>
            </c:ext>
          </c:extLst>
        </c:ser>
        <c:ser>
          <c:idx val="3"/>
          <c:order val="15"/>
          <c:tx>
            <c:strRef>
              <c:f>Data_preparationResults!$AB$11</c:f>
              <c:strCache>
                <c:ptCount val="1"/>
                <c:pt idx="0">
                  <c:v>Readiness to pay migration costs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9-BB42-4EDB-A939-4DB7956180BE}"/>
              </c:ext>
            </c:extLst>
          </c:dPt>
          <c:dLbls>
            <c:dLbl>
              <c:idx val="0"/>
              <c:layout>
                <c:manualLayout>
                  <c:x val="-0.22755019624880976"/>
                  <c:y val="4.4177344285353429E-2"/>
                </c:manualLayout>
              </c:layout>
              <c:spPr>
                <a:solidFill>
                  <a:sysClr val="window" lastClr="FFFFFF"/>
                </a:solidFill>
                <a:ln>
                  <a:solidFill>
                    <a:sysClr val="window" lastClr="FFFFFF">
                      <a:lumMod val="65000"/>
                    </a:sysClr>
                  </a:solidFill>
                </a:ln>
                <a:effectLst/>
              </c:spPr>
              <c:txPr>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29-BB42-4EDB-A939-4DB7956180BE}"/>
                </c:ext>
              </c:extLst>
            </c:dLbl>
            <c:spPr>
              <a:no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28-BB42-4EDB-A939-4DB7956180BE}"/>
            </c:ext>
          </c:extLst>
        </c:ser>
        <c:dLbls>
          <c:dLblPos val="t"/>
          <c:showLegendKey val="0"/>
          <c:showVal val="1"/>
          <c:showCatName val="0"/>
          <c:showSerName val="0"/>
          <c:showPercent val="0"/>
          <c:showBubbleSize val="0"/>
        </c:dLbls>
        <c:axId val="94803840"/>
        <c:axId val="94818304"/>
      </c:scatterChart>
      <c:valAx>
        <c:axId val="94803840"/>
        <c:scaling>
          <c:orientation val="maxMin"/>
          <c:max val="3"/>
          <c:min val="1"/>
        </c:scaling>
        <c:delete val="1"/>
        <c:axPos val="b"/>
        <c:majorGridlines>
          <c:spPr>
            <a:ln w="9525" cap="flat" cmpd="dbl" algn="ctr">
              <a:solidFill>
                <a:schemeClr val="tx1"/>
              </a:solidFill>
              <a:prstDash val="sysDash"/>
              <a:round/>
            </a:ln>
            <a:effectLst/>
          </c:spPr>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chemeClr val="tx1">
                        <a:lumMod val="65000"/>
                        <a:lumOff val="35000"/>
                      </a:schemeClr>
                    </a:solidFill>
                    <a:latin typeface="+mn-lt"/>
                    <a:ea typeface="+mn-ea"/>
                    <a:cs typeface="+mn-cs"/>
                  </a:defRPr>
                </a:pPr>
                <a:r>
                  <a:rPr lang="x-none" sz="1800" b="1" i="0" baseline="0">
                    <a:solidFill>
                      <a:schemeClr val="tx1">
                        <a:lumMod val="65000"/>
                        <a:lumOff val="35000"/>
                      </a:schemeClr>
                    </a:solidFill>
                    <a:effectLst/>
                  </a:rPr>
                  <a:t>Relative importance</a:t>
                </a:r>
                <a:endParaRPr lang="x-none" sz="1800">
                  <a:solidFill>
                    <a:schemeClr val="tx1">
                      <a:lumMod val="65000"/>
                      <a:lumOff val="35000"/>
                    </a:schemeClr>
                  </a:solidFill>
                  <a:effectLst/>
                </a:endParaRPr>
              </a:p>
            </c:rich>
          </c:tx>
          <c:layout>
            <c:manualLayout>
              <c:xMode val="edge"/>
              <c:yMode val="edge"/>
              <c:x val="0.26043480312605838"/>
              <c:y val="0.94192753481687108"/>
            </c:manualLayout>
          </c:layout>
          <c:overlay val="0"/>
        </c:title>
        <c:numFmt formatCode="General" sourceLinked="1"/>
        <c:majorTickMark val="none"/>
        <c:minorTickMark val="none"/>
        <c:tickLblPos val="low"/>
        <c:crossAx val="94818304"/>
        <c:crossesAt val="3"/>
        <c:crossBetween val="midCat"/>
        <c:majorUnit val="1"/>
      </c:valAx>
      <c:valAx>
        <c:axId val="94818304"/>
        <c:scaling>
          <c:orientation val="minMax"/>
          <c:max val="2.9899999999999998"/>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Weaknesses</a:t>
                </a:r>
              </a:p>
            </c:rich>
          </c:tx>
          <c:layout>
            <c:manualLayout>
              <c:xMode val="edge"/>
              <c:yMode val="edge"/>
              <c:x val="0.90455410873190045"/>
              <c:y val="0.26493654240106179"/>
            </c:manualLayout>
          </c:layout>
          <c:overlay val="0"/>
          <c:spPr>
            <a:noFill/>
            <a:ln>
              <a:noFill/>
            </a:ln>
            <a:effectLst/>
          </c:sp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03840"/>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x-none" sz="1600" b="1">
                <a:solidFill>
                  <a:schemeClr val="tx1">
                    <a:lumMod val="95000"/>
                    <a:lumOff val="5000"/>
                  </a:schemeClr>
                </a:solidFill>
              </a:rPr>
              <a:t>External criteria</a:t>
            </a:r>
          </a:p>
        </c:rich>
      </c:tx>
      <c:layout>
        <c:manualLayout>
          <c:xMode val="edge"/>
          <c:yMode val="edge"/>
          <c:x val="2.0486635534553814E-3"/>
          <c:y val="5.6560956880258627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8060650804128364"/>
          <c:y val="0.15255634191129974"/>
          <c:w val="0.76269944867403683"/>
          <c:h val="0.76336629956949986"/>
        </c:manualLayout>
      </c:layout>
      <c:scatterChart>
        <c:scatterStyle val="lineMarker"/>
        <c:varyColors val="0"/>
        <c:ser>
          <c:idx val="0"/>
          <c:order val="0"/>
          <c:tx>
            <c:strRef>
              <c:f>Data_preparationResults!$AB$16</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0C08-48C5-806B-E7A558EB180D}"/>
              </c:ext>
            </c:extLst>
          </c:dPt>
          <c:dLbls>
            <c:dLbl>
              <c:idx val="0"/>
              <c:layout>
                <c:manualLayout>
                  <c:x val="-0.1111283270736947"/>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0C08-48C5-806B-E7A558EB180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Data_preparationResults!$AF$16</c:f>
              <c:numCache>
                <c:formatCode>General</c:formatCode>
                <c:ptCount val="1"/>
                <c:pt idx="0">
                  <c:v>3</c:v>
                </c:pt>
              </c:numCache>
            </c:numRef>
          </c:xVal>
          <c:yVal>
            <c:numRef>
              <c:f>Data_preparationResults!$AD$16</c:f>
              <c:numCache>
                <c:formatCode>0.00</c:formatCode>
                <c:ptCount val="1"/>
                <c:pt idx="0">
                  <c:v>0</c:v>
                </c:pt>
              </c:numCache>
            </c:numRef>
          </c:yVal>
          <c:smooth val="0"/>
          <c:extLst>
            <c:ext xmlns:c16="http://schemas.microsoft.com/office/drawing/2014/chart" uri="{C3380CC4-5D6E-409C-BE32-E72D297353CC}">
              <c16:uniqueId val="{00000002-0C08-48C5-806B-E7A558EB180D}"/>
            </c:ext>
          </c:extLst>
        </c:ser>
        <c:dLbls>
          <c:dLblPos val="t"/>
          <c:showLegendKey val="0"/>
          <c:showVal val="1"/>
          <c:showCatName val="0"/>
          <c:showSerName val="0"/>
          <c:showPercent val="0"/>
          <c:showBubbleSize val="0"/>
        </c:dLbls>
        <c:axId val="94835072"/>
        <c:axId val="94847360"/>
      </c:scatterChart>
      <c:valAx>
        <c:axId val="94835072"/>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r>
                  <a:rPr lang="x-none" sz="1400" b="1"/>
                  <a:t>Relative importance</a:t>
                </a:r>
              </a:p>
            </c:rich>
          </c:tx>
          <c:layout>
            <c:manualLayout>
              <c:xMode val="edge"/>
              <c:yMode val="edge"/>
              <c:x val="0.42439156506688447"/>
              <c:y val="5.6389482235484921E-2"/>
            </c:manualLayout>
          </c:layout>
          <c:overlay val="0"/>
          <c:spPr>
            <a:noFill/>
            <a:ln>
              <a:noFill/>
            </a:ln>
            <a:effectLst/>
          </c:spPr>
          <c:txPr>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94847360"/>
        <c:crossesAt val="3"/>
        <c:crossBetween val="midCat"/>
        <c:majorUnit val="1"/>
      </c:valAx>
      <c:valAx>
        <c:axId val="94847360"/>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r>
                  <a:rPr lang="x-none" sz="2800" b="1"/>
                  <a:t>Opportunities</a:t>
                </a:r>
              </a:p>
            </c:rich>
          </c:tx>
          <c:layout>
            <c:manualLayout>
              <c:xMode val="edge"/>
              <c:yMode val="edge"/>
              <c:x val="6.0134633595991971E-4"/>
              <c:y val="0.29261752049259776"/>
            </c:manualLayout>
          </c:layout>
          <c:overlay val="0"/>
          <c:spPr>
            <a:noFill/>
            <a:ln>
              <a:noFill/>
            </a:ln>
            <a:effectLst/>
          </c:spPr>
          <c:txPr>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35072"/>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5389868824742"/>
          <c:y val="6.8007003825894502E-2"/>
          <c:w val="0.78379236966737242"/>
          <c:h val="0.79847468760942641"/>
        </c:manualLayout>
      </c:layout>
      <c:scatterChart>
        <c:scatterStyle val="lineMarker"/>
        <c:varyColors val="0"/>
        <c:ser>
          <c:idx val="0"/>
          <c:order val="0"/>
          <c:tx>
            <c:strRef>
              <c:f>Data_preparationResults!$AB$13</c:f>
              <c:strCache>
                <c:ptCount val="1"/>
                <c:pt idx="0">
                  <c:v>Domain knowledge</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57E-4258-9CFA-A44D5DD56B0D}"/>
              </c:ext>
            </c:extLst>
          </c:dPt>
          <c:dLbls>
            <c:dLbl>
              <c:idx val="0"/>
              <c:layout>
                <c:manualLayout>
                  <c:x val="-0.11573053803013239"/>
                  <c:y val="-3.021036643747227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57E-4258-9CFA-A44D5DD56B0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02-B57E-4258-9CFA-A44D5DD56B0D}"/>
            </c:ext>
          </c:extLst>
        </c:ser>
        <c:dLbls>
          <c:dLblPos val="t"/>
          <c:showLegendKey val="0"/>
          <c:showVal val="1"/>
          <c:showCatName val="0"/>
          <c:showSerName val="0"/>
          <c:showPercent val="0"/>
          <c:showBubbleSize val="0"/>
        </c:dLbls>
        <c:axId val="94857856"/>
        <c:axId val="94874240"/>
      </c:scatterChart>
      <c:valAx>
        <c:axId val="94857856"/>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x-none" sz="1600" b="1"/>
                  <a:t>Relative importance</a:t>
                </a:r>
              </a:p>
            </c:rich>
          </c:tx>
          <c:layout>
            <c:manualLayout>
              <c:xMode val="edge"/>
              <c:yMode val="edge"/>
              <c:x val="0.38101295611081742"/>
              <c:y val="0.9214404348656671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low"/>
        <c:crossAx val="94874240"/>
        <c:crossesAt val="3"/>
        <c:crossBetween val="midCat"/>
        <c:majorUnit val="1"/>
      </c:valAx>
      <c:valAx>
        <c:axId val="94874240"/>
        <c:scaling>
          <c:orientation val="minMax"/>
          <c:max val="2.9899999999999998"/>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Threats</a:t>
                </a:r>
              </a:p>
            </c:rich>
          </c:tx>
          <c:layout>
            <c:manualLayout>
              <c:xMode val="edge"/>
              <c:yMode val="edge"/>
              <c:x val="0"/>
              <c:y val="0.36087790662964075"/>
            </c:manualLayout>
          </c:layout>
          <c:overlay val="0"/>
          <c:spPr>
            <a:noFill/>
            <a:ln>
              <a:noFill/>
            </a:ln>
            <a:effectLst/>
          </c:spPr>
          <c:txPr>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57856"/>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x-none" sz="1600" b="1">
                <a:solidFill>
                  <a:schemeClr val="tx1"/>
                </a:solidFill>
              </a:rPr>
              <a:t>Internal criteria</a:t>
            </a:r>
          </a:p>
        </c:rich>
      </c:tx>
      <c:layout>
        <c:manualLayout>
          <c:xMode val="edge"/>
          <c:yMode val="edge"/>
          <c:x val="0.74735938840472071"/>
          <c:y val="4.6082322932171548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s-419"/>
        </a:p>
      </c:txPr>
    </c:title>
    <c:autoTitleDeleted val="0"/>
    <c:plotArea>
      <c:layout>
        <c:manualLayout>
          <c:layoutTarget val="inner"/>
          <c:xMode val="edge"/>
          <c:yMode val="edge"/>
          <c:x val="1.1271775157884825E-2"/>
          <c:y val="0.14493458302557582"/>
          <c:w val="0.72726555858281161"/>
          <c:h val="0.76191095516929774"/>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5-59B8-4FC4-BB45-94FF6213698B}"/>
              </c:ext>
            </c:extLst>
          </c:dPt>
          <c:dLbls>
            <c:dLbl>
              <c:idx val="0"/>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15-59B8-4FC4-BB45-94FF6213698B}"/>
            </c:ext>
          </c:extLst>
        </c:ser>
        <c:ser>
          <c:idx val="1"/>
          <c:order val="1"/>
          <c:tx>
            <c:strRef>
              <c:f>Data_preparationResults!#REF!</c:f>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6-59B8-4FC4-BB45-94FF6213698B}"/>
              </c:ext>
            </c:extLst>
          </c:dPt>
          <c:dLbls>
            <c:dLbl>
              <c:idx val="0"/>
              <c:layout>
                <c:manualLayout>
                  <c:x val="-0.25369227617684559"/>
                  <c:y val="2.202655570770800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6-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16-59B8-4FC4-BB45-94FF6213698B}"/>
            </c:ext>
          </c:extLst>
        </c:ser>
        <c:ser>
          <c:idx val="2"/>
          <c:order val="2"/>
          <c:tx>
            <c:strRef>
              <c:f>Data_preparationResults!$AB$12</c:f>
              <c:strCache>
                <c:ptCount val="1"/>
                <c:pt idx="0">
                  <c:v>Openness</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7-59B8-4FC4-BB45-94FF6213698B}"/>
              </c:ext>
            </c:extLst>
          </c:dPt>
          <c:dLbls>
            <c:dLbl>
              <c:idx val="0"/>
              <c:layout>
                <c:manualLayout>
                  <c:x val="0.11938960791045751"/>
                  <c:y val="2.57967648732817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7-59B8-4FC4-BB45-94FF6213698B}"/>
                </c:ext>
              </c:extLst>
            </c:dLbl>
            <c:spPr>
              <a:noFill/>
              <a:ln>
                <a:noFill/>
              </a:ln>
              <a:effectLst/>
            </c:spPr>
            <c:txPr>
              <a:bodyPr rot="0" spcFirstLastPara="1" vertOverflow="ellipsis"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17-59B8-4FC4-BB45-94FF6213698B}"/>
            </c:ext>
          </c:extLst>
        </c:ser>
        <c:ser>
          <c:idx val="4"/>
          <c:order val="3"/>
          <c:tx>
            <c:strRef>
              <c:f>Data_preparationResults!$AB$14</c:f>
              <c:strCache>
                <c:ptCount val="1"/>
                <c:pt idx="0">
                  <c:v>Process discipline</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8-59B8-4FC4-BB45-94FF6213698B}"/>
              </c:ext>
            </c:extLst>
          </c:dPt>
          <c:dLbls>
            <c:dLbl>
              <c:idx val="0"/>
              <c:layout>
                <c:manualLayout>
                  <c:x val="-2.8307804603481541E-2"/>
                  <c:y val="-0.149185466347524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8-59B8-4FC4-BB45-94FF6213698B}"/>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19-59B8-4FC4-BB45-94FF6213698B}"/>
            </c:ext>
          </c:extLst>
        </c:ser>
        <c:ser>
          <c:idx val="3"/>
          <c:order val="4"/>
          <c:tx>
            <c:strRef>
              <c:f>Data_preparationResults!$AB$15</c:f>
              <c:strCache>
                <c:ptCount val="1"/>
                <c:pt idx="0">
                  <c:v>Commitment of key actors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9-59B8-4FC4-BB45-94FF6213698B}"/>
              </c:ext>
            </c:extLst>
          </c:dPt>
          <c:dLbls>
            <c:dLbl>
              <c:idx val="0"/>
              <c:layout>
                <c:manualLayout>
                  <c:x val="0.14707090857249169"/>
                  <c:y val="4.1778929758111628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9-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1A-59B8-4FC4-BB45-94FF6213698B}"/>
            </c:ext>
          </c:extLst>
        </c:ser>
        <c:ser>
          <c:idx val="6"/>
          <c:order val="5"/>
          <c:tx>
            <c:strRef>
              <c:f>Data_preparationResults!$AB$17</c:f>
              <c:strCache>
                <c:ptCount val="1"/>
                <c:pt idx="0">
                  <c:v>Organizational support</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B-59B8-4FC4-BB45-94FF6213698B}"/>
              </c:ext>
            </c:extLst>
          </c:dPt>
          <c:dLbls>
            <c:dLbl>
              <c:idx val="0"/>
              <c:layout>
                <c:manualLayout>
                  <c:x val="0.16072707833046471"/>
                  <c:y val="2.50360299548562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no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5804523549234051"/>
                      <c:h val="0.11748273928437439"/>
                    </c:manualLayout>
                  </c15:layout>
                </c:ext>
                <c:ext xmlns:c16="http://schemas.microsoft.com/office/drawing/2014/chart" uri="{C3380CC4-5D6E-409C-BE32-E72D297353CC}">
                  <c16:uniqueId val="{0000002B-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C-59B8-4FC4-BB45-94FF6213698B}"/>
            </c:ext>
          </c:extLst>
        </c:ser>
        <c:ser>
          <c:idx val="7"/>
          <c:order val="6"/>
          <c:tx>
            <c:strRef>
              <c:f>Data_preparationResults!$AB$18</c:f>
              <c:strCache>
                <c:ptCount val="1"/>
                <c:pt idx="0">
                  <c:v>Product line awareness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C-59B8-4FC4-BB45-94FF6213698B}"/>
              </c:ext>
            </c:extLst>
          </c:dPt>
          <c:dLbls>
            <c:dLbl>
              <c:idx val="0"/>
              <c:layout>
                <c:manualLayout>
                  <c:x val="0.25073853263276752"/>
                  <c:y val="-2.15340754112126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C-59B8-4FC4-BB45-94FF6213698B}"/>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D-59B8-4FC4-BB45-94FF6213698B}"/>
            </c:ext>
          </c:extLst>
        </c:ser>
        <c:ser>
          <c:idx val="8"/>
          <c:order val="7"/>
          <c:tx>
            <c:strRef>
              <c:f>Data_preparationResults!$AB$19</c:f>
              <c:strCache>
                <c:ptCount val="1"/>
                <c:pt idx="0">
                  <c:v> Degree of control over product specification</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F-59B8-4FC4-BB45-94FF6213698B}"/>
              </c:ext>
            </c:extLst>
          </c:dPt>
          <c:dLbls>
            <c:dLbl>
              <c:idx val="0"/>
              <c:layout>
                <c:manualLayout>
                  <c:x val="3.9514940662703051E-2"/>
                  <c:y val="-3.53884765576626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F-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E-59B8-4FC4-BB45-94FF6213698B}"/>
            </c:ext>
          </c:extLst>
        </c:ser>
        <c:ser>
          <c:idx val="9"/>
          <c:order val="8"/>
          <c:tx>
            <c:strRef>
              <c:f>Data_preparationResults!$AB$20</c:f>
              <c:strCache>
                <c:ptCount val="1"/>
                <c:pt idx="0">
                  <c:v>Potential products</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1-59B8-4FC4-BB45-94FF6213698B}"/>
              </c:ext>
            </c:extLst>
          </c:dPt>
          <c:dLbls>
            <c:dLbl>
              <c:idx val="0"/>
              <c:layout>
                <c:manualLayout>
                  <c:x val="3.3832876244946394E-2"/>
                  <c:y val="-2.328813180282272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31-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F-59B8-4FC4-BB45-94FF6213698B}"/>
            </c:ext>
          </c:extLst>
        </c:ser>
        <c:ser>
          <c:idx val="10"/>
          <c:order val="9"/>
          <c:tx>
            <c:strRef>
              <c:f>Data_preparationResults!#REF!</c:f>
              <c:strCache>
                <c:ptCount val="1"/>
                <c:pt idx="0">
                  <c:v>#REF!</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E-59B8-4FC4-BB45-94FF6213698B}"/>
              </c:ext>
            </c:extLst>
          </c:dPt>
          <c:dLbls>
            <c:dLbl>
              <c:idx val="0"/>
              <c:layout>
                <c:manualLayout>
                  <c:x val="2.2793634055085214E-2"/>
                  <c:y val="-7.2313746761012765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E-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20-59B8-4FC4-BB45-94FF6213698B}"/>
            </c:ext>
          </c:extLst>
        </c:ser>
        <c:ser>
          <c:idx val="11"/>
          <c:order val="10"/>
          <c:tx>
            <c:strRef>
              <c:f>Data_preparationResults!$AB$21</c:f>
              <c:strCache>
                <c:ptCount val="1"/>
                <c:pt idx="0">
                  <c:v>Commonality and variability</c:v>
                </c:pt>
              </c:strCache>
            </c:strRef>
          </c:tx>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2-59B8-4FC4-BB45-94FF6213698B}"/>
              </c:ext>
            </c:extLst>
          </c:dPt>
          <c:dLbls>
            <c:dLbl>
              <c:idx val="0"/>
              <c:layout>
                <c:manualLayout>
                  <c:x val="-2.6663593909429628E-2"/>
                  <c:y val="-0.1558666190608996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32-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21-59B8-4FC4-BB45-94FF6213698B}"/>
            </c:ext>
          </c:extLst>
        </c:ser>
        <c:ser>
          <c:idx val="12"/>
          <c:order val="11"/>
          <c:tx>
            <c:strRef>
              <c:f>Data_preparationResults!$AB$22</c:f>
              <c:strCache>
                <c:ptCount val="1"/>
                <c:pt idx="0">
                  <c:v>Software engineering capability</c:v>
                </c:pt>
              </c:strCache>
            </c:strRef>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3-59B8-4FC4-BB45-94FF6213698B}"/>
              </c:ext>
            </c:extLst>
          </c:dPt>
          <c:dLbls>
            <c:dLbl>
              <c:idx val="0"/>
              <c:layout>
                <c:manualLayout>
                  <c:x val="7.7497907469455909E-2"/>
                  <c:y val="-0.19105530033007345"/>
                </c:manualLayout>
              </c:layout>
              <c:showLegendKey val="0"/>
              <c:showVal val="1"/>
              <c:showCatName val="0"/>
              <c:showSerName val="1"/>
              <c:showPercent val="0"/>
              <c:showBubbleSize val="0"/>
              <c:separator>; </c:separator>
              <c:extLst>
                <c:ext xmlns:c15="http://schemas.microsoft.com/office/drawing/2012/chart" uri="{CE6537A1-D6FC-4f65-9D91-7224C49458BB}">
                  <c15:layout>
                    <c:manualLayout>
                      <c:w val="0.19956533640660656"/>
                      <c:h val="0.1062943405818871"/>
                    </c:manualLayout>
                  </c15:layout>
                </c:ext>
                <c:ext xmlns:c16="http://schemas.microsoft.com/office/drawing/2014/chart" uri="{C3380CC4-5D6E-409C-BE32-E72D297353CC}">
                  <c16:uniqueId val="{00000033-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22-59B8-4FC4-BB45-94FF6213698B}"/>
            </c:ext>
          </c:extLst>
        </c:ser>
        <c:ser>
          <c:idx val="13"/>
          <c:order val="12"/>
          <c:tx>
            <c:strRef>
              <c:f>Data_preparationResults!$AB$23</c:f>
              <c:strCache>
                <c:ptCount val="1"/>
                <c:pt idx="0">
                  <c:v>Reuse potential</c:v>
                </c:pt>
              </c:strCache>
            </c:strRef>
          </c:tx>
          <c:spPr>
            <a:ln w="19050" cap="rnd">
              <a:solidFill>
                <a:schemeClr val="accent2">
                  <a:lumMod val="80000"/>
                  <a:lumOff val="20000"/>
                </a:schemeClr>
              </a:solidFill>
              <a:round/>
            </a:ln>
            <a:effectLst/>
          </c:spPr>
          <c:marker>
            <c:symbol val="circle"/>
            <c:size val="5"/>
            <c:spPr>
              <a:solidFill>
                <a:schemeClr val="accent1">
                  <a:lumMod val="50000"/>
                </a:schemeClr>
              </a:solidFill>
              <a:ln w="9525">
                <a:solidFill>
                  <a:schemeClr val="accent2">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D-59B8-4FC4-BB45-94FF6213698B}"/>
              </c:ext>
            </c:extLst>
          </c:dPt>
          <c:dLbls>
            <c:dLbl>
              <c:idx val="0"/>
              <c:layout>
                <c:manualLayout>
                  <c:x val="3.9043204272948565E-2"/>
                  <c:y val="0.20162959482518289"/>
                </c:manualLayout>
              </c:layout>
              <c:spPr>
                <a:solidFill>
                  <a:sysClr val="window" lastClr="FFFFFF"/>
                </a:solidFill>
                <a:ln>
                  <a:solidFill>
                    <a:sysClr val="window" lastClr="FFFFFF">
                      <a:lumMod val="50000"/>
                      <a:alpha val="94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76323505313007"/>
                      <c:h val="8.2595390195635845E-2"/>
                    </c:manualLayout>
                  </c15:layout>
                </c:ext>
                <c:ext xmlns:c16="http://schemas.microsoft.com/office/drawing/2014/chart" uri="{C3380CC4-5D6E-409C-BE32-E72D297353CC}">
                  <c16:uniqueId val="{0000002D-59B8-4FC4-BB45-94FF6213698B}"/>
                </c:ext>
              </c:extLst>
            </c:dLbl>
            <c:spPr>
              <a:solidFill>
                <a:schemeClr val="lt1"/>
              </a:solidFill>
              <a:ln>
                <a:solidFill>
                  <a:schemeClr val="bg1">
                    <a:lumMod val="50000"/>
                    <a:alpha val="94000"/>
                  </a:scheme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23-59B8-4FC4-BB45-94FF6213698B}"/>
            </c:ext>
          </c:extLst>
        </c:ser>
        <c:ser>
          <c:idx val="14"/>
          <c:order val="13"/>
          <c:tx>
            <c:strRef>
              <c:f>Data_preparationResults!$AB$24</c:f>
              <c:strCache>
                <c:ptCount val="1"/>
                <c:pt idx="0">
                  <c:v>Reuse aptitute</c:v>
                </c:pt>
              </c:strCache>
            </c:strRef>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4-59B8-4FC4-BB45-94FF6213698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24-59B8-4FC4-BB45-94FF6213698B}"/>
            </c:ext>
          </c:extLst>
        </c:ser>
        <c:ser>
          <c:idx val="15"/>
          <c:order val="14"/>
          <c:tx>
            <c:strRef>
              <c:f>'APPLIES-preparation'!$D$9</c:f>
              <c:strCache>
                <c:ptCount val="1"/>
                <c:pt idx="0">
                  <c:v> Degree of control over product specification</c:v>
                </c:pt>
              </c:strCache>
            </c:strRef>
          </c:tx>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5-59B8-4FC4-BB45-94FF6213698B}"/>
              </c:ext>
            </c:extLst>
          </c:dPt>
          <c:dLbls>
            <c:dLbl>
              <c:idx val="0"/>
              <c:layout>
                <c:manualLayout>
                  <c:x val="1.5528014879588473E-2"/>
                  <c:y val="7.77504752712592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161305143942896"/>
                      <c:h val="0.11718918216716433"/>
                    </c:manualLayout>
                  </c15:layout>
                </c:ext>
                <c:ext xmlns:c16="http://schemas.microsoft.com/office/drawing/2014/chart" uri="{C3380CC4-5D6E-409C-BE32-E72D297353CC}">
                  <c16:uniqueId val="{00000035-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'APPLIES-preparation'!$W$9</c:f>
            </c:numRef>
          </c:xVal>
          <c:yVal>
            <c:numRef>
              <c:f>'APPLIES-preparation'!$AC$9</c:f>
              <c:numCache>
                <c:formatCode>0.00</c:formatCode>
                <c:ptCount val="1"/>
                <c:pt idx="0">
                  <c:v>0</c:v>
                </c:pt>
              </c:numCache>
            </c:numRef>
          </c:yVal>
          <c:smooth val="0"/>
          <c:extLst>
            <c:ext xmlns:c16="http://schemas.microsoft.com/office/drawing/2014/chart" uri="{C3380CC4-5D6E-409C-BE32-E72D297353CC}">
              <c16:uniqueId val="{00000030-59B8-4FC4-BB45-94FF6213698B}"/>
            </c:ext>
          </c:extLst>
        </c:ser>
        <c:ser>
          <c:idx val="16"/>
          <c:order val="15"/>
          <c:tx>
            <c:strRef>
              <c:f>Data_preparationResults!$AB$11</c:f>
              <c:strCache>
                <c:ptCount val="1"/>
                <c:pt idx="0">
                  <c:v>Readiness to pay migration costs</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2-7AFD-4AEA-AD1A-1B008CF1B498}"/>
              </c:ext>
            </c:extLst>
          </c:dPt>
          <c:dLbls>
            <c:dLbl>
              <c:idx val="0"/>
              <c:layout>
                <c:manualLayout>
                  <c:x val="-0.23057671240291011"/>
                  <c:y val="-2.431630961899597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2-7AFD-4AEA-AD1A-1B008CF1B49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36-59B8-4FC4-BB45-94FF6213698B}"/>
            </c:ext>
          </c:extLst>
        </c:ser>
        <c:ser>
          <c:idx val="5"/>
          <c:order val="16"/>
          <c:tx>
            <c:strRef>
              <c:f>Data_preparationResults!$AB$13</c:f>
              <c:strCache>
                <c:ptCount val="1"/>
                <c:pt idx="0">
                  <c:v>Domain knowledge</c:v>
                </c:pt>
              </c:strCache>
            </c:strRef>
          </c:tx>
          <c:spPr>
            <a:ln w="19050" cap="rnd">
              <a:solidFill>
                <a:schemeClr val="accent1">
                  <a:lumMod val="75000"/>
                </a:schemeClr>
              </a:solidFill>
              <a:round/>
            </a:ln>
            <a:effectLst/>
          </c:spPr>
          <c:marker>
            <c:symbol val="square"/>
            <c:size val="5"/>
            <c:spPr>
              <a:solidFill>
                <a:schemeClr val="accent1">
                  <a:lumMod val="75000"/>
                </a:schemeClr>
              </a:solidFill>
              <a:ln w="9525">
                <a:solidFill>
                  <a:schemeClr val="accent6"/>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1-7AFD-4AEA-AD1A-1B008CF1B498}"/>
              </c:ext>
            </c:extLst>
          </c:dPt>
          <c:dLbls>
            <c:dLbl>
              <c:idx val="0"/>
              <c:layout>
                <c:manualLayout>
                  <c:x val="9.3245045821492741E-3"/>
                  <c:y val="0.1845769956878982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1-7AFD-4AEA-AD1A-1B008CF1B49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20-7AFD-4AEA-AD1A-1B008CF1B498}"/>
            </c:ext>
          </c:extLst>
        </c:ser>
        <c:dLbls>
          <c:showLegendKey val="0"/>
          <c:showVal val="0"/>
          <c:showCatName val="0"/>
          <c:showSerName val="0"/>
          <c:showPercent val="0"/>
          <c:showBubbleSize val="0"/>
        </c:dLbls>
        <c:axId val="101475456"/>
        <c:axId val="101477376"/>
      </c:scatterChart>
      <c:valAx>
        <c:axId val="101475456"/>
        <c:scaling>
          <c:orientation val="maxMin"/>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sz="1400" b="1" i="0" baseline="0">
                    <a:effectLst/>
                  </a:rPr>
                  <a:t>Relative importance</a:t>
                </a:r>
                <a:endParaRPr lang="x-none" sz="900">
                  <a:effectLst/>
                </a:endParaRPr>
              </a:p>
            </c:rich>
          </c:tx>
          <c:layout>
            <c:manualLayout>
              <c:xMode val="edge"/>
              <c:yMode val="edge"/>
              <c:x val="0.28251492633343134"/>
              <c:y val="5.057678560762393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101477376"/>
        <c:crossesAt val="3"/>
        <c:crossBetween val="midCat"/>
        <c:majorUnit val="1"/>
      </c:valAx>
      <c:valAx>
        <c:axId val="101477376"/>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Strengths</a:t>
                </a:r>
              </a:p>
            </c:rich>
          </c:tx>
          <c:layout>
            <c:manualLayout>
              <c:xMode val="edge"/>
              <c:yMode val="edge"/>
              <c:x val="0.84449276242280347"/>
              <c:y val="0.31864233348018106"/>
            </c:manualLayout>
          </c:layout>
          <c:overlay val="0"/>
          <c:spPr>
            <a:noFill/>
            <a:ln>
              <a:noFill/>
            </a:ln>
            <a:effectLst/>
          </c:spPr>
          <c:txPr>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147545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[APPLIES-toolsupportV1.0.a4b.xlsm]Preparation results!TablaDinámica3</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Performance by criterion</a:t>
            </a:r>
          </a:p>
        </c:rich>
      </c:tx>
      <c:layout>
        <c:manualLayout>
          <c:xMode val="edge"/>
          <c:yMode val="edge"/>
          <c:x val="0.34927851908236041"/>
          <c:y val="2.4428338554025326E-2"/>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spPr>
          <a:solidFill>
            <a:schemeClr val="accent1"/>
          </a:solidFill>
          <a:ln>
            <a:noFill/>
          </a:ln>
          <a:effectLst/>
        </c:spPr>
        <c:marker>
          <c:symbol val="none"/>
        </c:marker>
      </c:pivotFmt>
      <c:pivotFmt>
        <c:idx val="8"/>
      </c:pivotFmt>
      <c:pivotFmt>
        <c:idx val="9"/>
        <c:spPr>
          <a:solidFill>
            <a:schemeClr val="accent1"/>
          </a:solidFill>
          <a:ln>
            <a:noFill/>
          </a:ln>
          <a:effectLst/>
        </c:spPr>
        <c:marker>
          <c:symbol val="none"/>
        </c:marker>
      </c:pivotFmt>
      <c:pivotFmt>
        <c:idx val="10"/>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57600585828963"/>
          <c:y val="0.16665838377859421"/>
          <c:w val="0.55267593596543219"/>
          <c:h val="0.7574222568851634"/>
        </c:manualLayout>
      </c:layout>
      <c:barChart>
        <c:barDir val="bar"/>
        <c:grouping val="clustered"/>
        <c:varyColors val="0"/>
        <c:ser>
          <c:idx val="0"/>
          <c:order val="0"/>
          <c:tx>
            <c:strRef>
              <c:f>'Preparation results'!$C$13:$C$14</c:f>
              <c:strCache>
                <c:ptCount val="1"/>
                <c:pt idx="0">
                  <c:v>Desirable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'Preparation results'!$B$15:$B$32</c:f>
              <c:multiLvlStrCache>
                <c:ptCount val="15"/>
                <c:lvl>
                  <c:pt idx="0">
                    <c:v>Commonality and variability</c:v>
                  </c:pt>
                  <c:pt idx="1">
                    <c:v>Reuse aptitute</c:v>
                  </c:pt>
                  <c:pt idx="2">
                    <c:v>Reuse potential</c:v>
                  </c:pt>
                  <c:pt idx="3">
                    <c:v>Software engineering capability</c:v>
                  </c:pt>
                  <c:pt idx="4">
                    <c:v> Degree of control over product specification</c:v>
                  </c:pt>
                  <c:pt idx="5">
                    <c:v>Commitment of key actors</c:v>
                  </c:pt>
                  <c:pt idx="6">
                    <c:v>Domain knowledge</c:v>
                  </c:pt>
                  <c:pt idx="7">
                    <c:v>Market potential</c:v>
                  </c:pt>
                  <c:pt idx="8">
                    <c:v>Openness</c:v>
                  </c:pt>
                  <c:pt idx="9">
                    <c:v>Organizational support</c:v>
                  </c:pt>
                  <c:pt idx="10">
                    <c:v>Potential products</c:v>
                  </c:pt>
                  <c:pt idx="11">
                    <c:v>Process discipline</c:v>
                  </c:pt>
                  <c:pt idx="12">
                    <c:v>Product line awareness</c:v>
                  </c:pt>
                  <c:pt idx="13">
                    <c:v>Readiness to do investments</c:v>
                  </c:pt>
                  <c:pt idx="14">
                    <c:v>Readiness to pay migration costs</c:v>
                  </c:pt>
                </c:lvl>
                <c:lvl>
                  <c:pt idx="0">
                    <c:v>Technical</c:v>
                  </c:pt>
                  <c:pt idx="4">
                    <c:v>Operational</c:v>
                  </c:pt>
                  <c:pt idx="13">
                    <c:v>Economic</c:v>
                  </c:pt>
                </c:lvl>
              </c:multiLvlStrCache>
            </c:multiLvlStrRef>
          </c:cat>
          <c:val>
            <c:numRef>
              <c:f>'Preparation results'!$C$15:$C$32</c:f>
              <c:numCache>
                <c:formatCode>0.00</c:formatCode>
                <c:ptCount val="15"/>
                <c:pt idx="14">
                  <c:v>0</c:v>
                </c:pt>
              </c:numCache>
            </c:numRef>
          </c:val>
          <c:extLst>
            <c:ext xmlns:c16="http://schemas.microsoft.com/office/drawing/2014/chart" uri="{C3380CC4-5D6E-409C-BE32-E72D297353CC}">
              <c16:uniqueId val="{00000001-BE50-4F1C-96C3-F98B8728B914}"/>
            </c:ext>
          </c:extLst>
        </c:ser>
        <c:ser>
          <c:idx val="1"/>
          <c:order val="1"/>
          <c:tx>
            <c:strRef>
              <c:f>'Preparation results'!$D$13:$D$14</c:f>
              <c:strCache>
                <c:ptCount val="1"/>
                <c:pt idx="0">
                  <c:v>Important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'Preparation results'!$B$15:$B$32</c:f>
              <c:multiLvlStrCache>
                <c:ptCount val="15"/>
                <c:lvl>
                  <c:pt idx="0">
                    <c:v>Commonality and variability</c:v>
                  </c:pt>
                  <c:pt idx="1">
                    <c:v>Reuse aptitute</c:v>
                  </c:pt>
                  <c:pt idx="2">
                    <c:v>Reuse potential</c:v>
                  </c:pt>
                  <c:pt idx="3">
                    <c:v>Software engineering capability</c:v>
                  </c:pt>
                  <c:pt idx="4">
                    <c:v> Degree of control over product specification</c:v>
                  </c:pt>
                  <c:pt idx="5">
                    <c:v>Commitment of key actors</c:v>
                  </c:pt>
                  <c:pt idx="6">
                    <c:v>Domain knowledge</c:v>
                  </c:pt>
                  <c:pt idx="7">
                    <c:v>Market potential</c:v>
                  </c:pt>
                  <c:pt idx="8">
                    <c:v>Openness</c:v>
                  </c:pt>
                  <c:pt idx="9">
                    <c:v>Organizational support</c:v>
                  </c:pt>
                  <c:pt idx="10">
                    <c:v>Potential products</c:v>
                  </c:pt>
                  <c:pt idx="11">
                    <c:v>Process discipline</c:v>
                  </c:pt>
                  <c:pt idx="12">
                    <c:v>Product line awareness</c:v>
                  </c:pt>
                  <c:pt idx="13">
                    <c:v>Readiness to do investments</c:v>
                  </c:pt>
                  <c:pt idx="14">
                    <c:v>Readiness to pay migration costs</c:v>
                  </c:pt>
                </c:lvl>
                <c:lvl>
                  <c:pt idx="0">
                    <c:v>Technical</c:v>
                  </c:pt>
                  <c:pt idx="4">
                    <c:v>Operational</c:v>
                  </c:pt>
                  <c:pt idx="13">
                    <c:v>Economic</c:v>
                  </c:pt>
                </c:lvl>
              </c:multiLvlStrCache>
            </c:multiLvlStrRef>
          </c:cat>
          <c:val>
            <c:numRef>
              <c:f>'Preparation results'!$D$15:$D$32</c:f>
              <c:numCache>
                <c:formatCode>0.00</c:formatCode>
                <c:ptCount val="15"/>
                <c:pt idx="1">
                  <c:v>0</c:v>
                </c:pt>
                <c:pt idx="4">
                  <c:v>0</c:v>
                </c:pt>
                <c:pt idx="10">
                  <c:v>0</c:v>
                </c:pt>
                <c:pt idx="13">
                  <c:v>0</c:v>
                </c:pt>
              </c:numCache>
            </c:numRef>
          </c:val>
          <c:extLst>
            <c:ext xmlns:c16="http://schemas.microsoft.com/office/drawing/2014/chart" uri="{C3380CC4-5D6E-409C-BE32-E72D297353CC}">
              <c16:uniqueId val="{00000000-BFEE-44BE-8E15-4A9D2D2404F7}"/>
            </c:ext>
          </c:extLst>
        </c:ser>
        <c:ser>
          <c:idx val="2"/>
          <c:order val="2"/>
          <c:tx>
            <c:strRef>
              <c:f>'Preparation results'!$E$13:$E$14</c:f>
              <c:strCache>
                <c:ptCount val="1"/>
                <c:pt idx="0">
                  <c:v>Very important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'Preparation results'!$B$15:$B$32</c:f>
              <c:multiLvlStrCache>
                <c:ptCount val="15"/>
                <c:lvl>
                  <c:pt idx="0">
                    <c:v>Commonality and variability</c:v>
                  </c:pt>
                  <c:pt idx="1">
                    <c:v>Reuse aptitute</c:v>
                  </c:pt>
                  <c:pt idx="2">
                    <c:v>Reuse potential</c:v>
                  </c:pt>
                  <c:pt idx="3">
                    <c:v>Software engineering capability</c:v>
                  </c:pt>
                  <c:pt idx="4">
                    <c:v> Degree of control over product specification</c:v>
                  </c:pt>
                  <c:pt idx="5">
                    <c:v>Commitment of key actors</c:v>
                  </c:pt>
                  <c:pt idx="6">
                    <c:v>Domain knowledge</c:v>
                  </c:pt>
                  <c:pt idx="7">
                    <c:v>Market potential</c:v>
                  </c:pt>
                  <c:pt idx="8">
                    <c:v>Openness</c:v>
                  </c:pt>
                  <c:pt idx="9">
                    <c:v>Organizational support</c:v>
                  </c:pt>
                  <c:pt idx="10">
                    <c:v>Potential products</c:v>
                  </c:pt>
                  <c:pt idx="11">
                    <c:v>Process discipline</c:v>
                  </c:pt>
                  <c:pt idx="12">
                    <c:v>Product line awareness</c:v>
                  </c:pt>
                  <c:pt idx="13">
                    <c:v>Readiness to do investments</c:v>
                  </c:pt>
                  <c:pt idx="14">
                    <c:v>Readiness to pay migration costs</c:v>
                  </c:pt>
                </c:lvl>
                <c:lvl>
                  <c:pt idx="0">
                    <c:v>Technical</c:v>
                  </c:pt>
                  <c:pt idx="4">
                    <c:v>Operational</c:v>
                  </c:pt>
                  <c:pt idx="13">
                    <c:v>Economic</c:v>
                  </c:pt>
                </c:lvl>
              </c:multiLvlStrCache>
            </c:multiLvlStrRef>
          </c:cat>
          <c:val>
            <c:numRef>
              <c:f>'Preparation results'!$E$15:$E$32</c:f>
              <c:numCache>
                <c:formatCode>0.00</c:formatCode>
                <c:ptCount val="15"/>
                <c:pt idx="0">
                  <c:v>0</c:v>
                </c:pt>
                <c:pt idx="2">
                  <c:v>0</c:v>
                </c:pt>
                <c:pt idx="3">
                  <c:v>0</c:v>
                </c:pt>
                <c:pt idx="5">
                  <c:v>0</c:v>
                </c:pt>
                <c:pt idx="6">
                  <c:v>0</c:v>
                </c:pt>
                <c:pt idx="7">
                  <c:v>0</c:v>
                </c:pt>
                <c:pt idx="8">
                  <c:v>0</c:v>
                </c:pt>
                <c:pt idx="9">
                  <c:v>0</c:v>
                </c:pt>
                <c:pt idx="11">
                  <c:v>0</c:v>
                </c:pt>
                <c:pt idx="12">
                  <c:v>0</c:v>
                </c:pt>
              </c:numCache>
            </c:numRef>
          </c:val>
          <c:extLst>
            <c:ext xmlns:c16="http://schemas.microsoft.com/office/drawing/2014/chart" uri="{C3380CC4-5D6E-409C-BE32-E72D297353CC}">
              <c16:uniqueId val="{00000001-BFEE-44BE-8E15-4A9D2D2404F7}"/>
            </c:ext>
          </c:extLst>
        </c:ser>
        <c:dLbls>
          <c:showLegendKey val="0"/>
          <c:showVal val="0"/>
          <c:showCatName val="0"/>
          <c:showSerName val="0"/>
          <c:showPercent val="0"/>
          <c:showBubbleSize val="0"/>
        </c:dLbls>
        <c:gapWidth val="219"/>
        <c:axId val="407960888"/>
        <c:axId val="407957280"/>
      </c:barChart>
      <c:catAx>
        <c:axId val="407960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419"/>
          </a:p>
        </c:txPr>
        <c:crossAx val="407957280"/>
        <c:crosses val="autoZero"/>
        <c:auto val="1"/>
        <c:lblAlgn val="ctr"/>
        <c:lblOffset val="100"/>
        <c:noMultiLvlLbl val="0"/>
      </c:catAx>
      <c:valAx>
        <c:axId val="407957280"/>
        <c:scaling>
          <c:orientation val="minMax"/>
          <c:max val="5"/>
        </c:scaling>
        <c:delete val="1"/>
        <c:axPos val="b"/>
        <c:numFmt formatCode="0.00" sourceLinked="1"/>
        <c:majorTickMark val="none"/>
        <c:minorTickMark val="none"/>
        <c:tickLblPos val="nextTo"/>
        <c:crossAx val="407960888"/>
        <c:crosses val="autoZero"/>
        <c:crossBetween val="between"/>
        <c:majorUnit val="0.5"/>
        <c:minorUnit val="0.2"/>
      </c:valAx>
      <c:spPr>
        <a:noFill/>
        <a:ln>
          <a:noFill/>
        </a:ln>
        <a:effectLst/>
      </c:spPr>
    </c:plotArea>
    <c:legend>
      <c:legendPos val="r"/>
      <c:layout>
        <c:manualLayout>
          <c:xMode val="edge"/>
          <c:yMode val="edge"/>
          <c:x val="0.88355179383610272"/>
          <c:y val="3.2386619959081708E-2"/>
          <c:w val="9.5662782039729777E-2"/>
          <c:h val="0.18077168008581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83024343204256E-2"/>
          <c:y val="7.4278195413939541E-2"/>
          <c:w val="0.7675087821341926"/>
          <c:h val="0.81125302744775452"/>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9827-4709-96C2-9ED842E212C5}"/>
              </c:ext>
            </c:extLst>
          </c:dPt>
          <c:dLbls>
            <c:dLbl>
              <c:idx val="0"/>
              <c:layout>
                <c:manualLayout>
                  <c:x val="8.326337756074946E-2"/>
                  <c:y val="6.4069340923343002E-2"/>
                </c:manualLayout>
              </c:layout>
              <c:spPr>
                <a:solidFill>
                  <a:sysClr val="window" lastClr="FFFFFF"/>
                </a:solidFill>
                <a:ln>
                  <a:solidFill>
                    <a:sysClr val="window" lastClr="FFFFFF">
                      <a:lumMod val="50000"/>
                    </a:sysClr>
                  </a:solidFill>
                </a:ln>
                <a:effectLst/>
              </c:spPr>
              <c:txPr>
                <a:bodyPr rot="0" spcFirstLastPara="1" vertOverflow="clip" horzOverflow="clip" vert="horz" wrap="square" lIns="38100" tIns="19050" rIns="38100" bIns="19050" anchor="ctr" anchorCtr="0">
                  <a:no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485386767377366"/>
                      <c:h val="0.11591958985804321"/>
                    </c:manualLayout>
                  </c15:layout>
                </c:ext>
                <c:ext xmlns:c16="http://schemas.microsoft.com/office/drawing/2014/chart" uri="{C3380CC4-5D6E-409C-BE32-E72D297353CC}">
                  <c16:uniqueId val="{00000001-9827-4709-96C2-9ED842E212C5}"/>
                </c:ext>
              </c:extLst>
            </c:dLbl>
            <c:spPr>
              <a:solidFill>
                <a:schemeClr val="bg1"/>
              </a:solidFill>
              <a:ln>
                <a:solidFill>
                  <a:schemeClr val="bg1">
                    <a:lumMod val="50000"/>
                  </a:schemeClr>
                </a:solidFill>
              </a:ln>
              <a:effectLst/>
            </c:spPr>
            <c:txPr>
              <a:bodyPr rot="0" spcFirstLastPara="1" vertOverflow="clip" horzOverflow="clip" vert="horz" wrap="square" lIns="38100" tIns="19050" rIns="38100" bIns="19050" anchor="ctr" anchorCtr="0">
                <a:sp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02-9827-4709-96C2-9ED842E212C5}"/>
            </c:ext>
          </c:extLst>
        </c:ser>
        <c:ser>
          <c:idx val="2"/>
          <c:order val="1"/>
          <c:tx>
            <c:strRef>
              <c:f>Data_preparationResults!$AB$12</c:f>
              <c:strCache>
                <c:ptCount val="1"/>
                <c:pt idx="0">
                  <c:v>Openness</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9827-4709-96C2-9ED842E212C5}"/>
              </c:ext>
            </c:extLst>
          </c:dPt>
          <c:dLbls>
            <c:dLbl>
              <c:idx val="0"/>
              <c:layout>
                <c:manualLayout>
                  <c:x val="5.9778270545439424E-2"/>
                  <c:y val="-0.1005703551926539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17684219448827"/>
                      <c:h val="7.9719645245042478E-2"/>
                    </c:manualLayout>
                  </c15:layout>
                </c:ext>
                <c:ext xmlns:c16="http://schemas.microsoft.com/office/drawing/2014/chart" uri="{C3380CC4-5D6E-409C-BE32-E72D297353CC}">
                  <c16:uniqueId val="{00000007-9827-4709-96C2-9ED842E212C5}"/>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08-9827-4709-96C2-9ED842E212C5}"/>
            </c:ext>
          </c:extLst>
        </c:ser>
        <c:ser>
          <c:idx val="4"/>
          <c:order val="2"/>
          <c:tx>
            <c:strRef>
              <c:f>Data_preparationResults!$AB$14</c:f>
              <c:strCache>
                <c:ptCount val="1"/>
                <c:pt idx="0">
                  <c:v>Process discipline</c:v>
                </c:pt>
              </c:strCache>
            </c:strRef>
          </c:tx>
          <c:spPr>
            <a:ln w="19050" cap="rnd">
              <a:solidFill>
                <a:schemeClr val="accent5"/>
              </a:solidFill>
              <a:round/>
            </a:ln>
            <a:effectLst/>
          </c:spPr>
          <c:marker>
            <c:symbol val="star"/>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9827-4709-96C2-9ED842E212C5}"/>
              </c:ext>
            </c:extLst>
          </c:dPt>
          <c:dLbls>
            <c:dLbl>
              <c:idx val="0"/>
              <c:layout>
                <c:manualLayout>
                  <c:x val="4.7252501826311182E-2"/>
                  <c:y val="-5.43454563318765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0">
                  <a:sp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9827-4709-96C2-9ED842E212C5}"/>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0B-9827-4709-96C2-9ED842E212C5}"/>
            </c:ext>
          </c:extLst>
        </c:ser>
        <c:ser>
          <c:idx val="5"/>
          <c:order val="3"/>
          <c:tx>
            <c:strRef>
              <c:f>Data_preparationResults!$AB$15</c:f>
              <c:strCache>
                <c:ptCount val="1"/>
                <c:pt idx="0">
                  <c:v>Commitment of key actors</c:v>
                </c:pt>
              </c:strCache>
            </c:strRef>
          </c:tx>
          <c:spPr>
            <a:ln w="19050" cap="rnd">
              <a:solidFill>
                <a:schemeClr val="accent6"/>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9827-4709-96C2-9ED842E212C5}"/>
              </c:ext>
            </c:extLst>
          </c:dPt>
          <c:dLbls>
            <c:dLbl>
              <c:idx val="0"/>
              <c:layout>
                <c:manualLayout>
                  <c:x val="4.4964192889676062E-2"/>
                  <c:y val="4.9014017328685745E-2"/>
                </c:manualLayout>
              </c:layout>
              <c:spPr>
                <a:solidFill>
                  <a:sysClr val="window" lastClr="FFFFFF"/>
                </a:solidFill>
                <a:ln>
                  <a:noFill/>
                </a:ln>
                <a:effectLst/>
              </c:spPr>
              <c:txPr>
                <a:bodyPr rot="0" spcFirstLastPara="1" vertOverflow="ellipsis" vert="horz" wrap="square" lIns="38100" tIns="19050" rIns="38100" bIns="19050" anchor="ctr" anchorCtr="0">
                  <a:no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9121166611230012"/>
                      <c:h val="0.10194321133239448"/>
                    </c:manualLayout>
                  </c15:layout>
                </c:ext>
                <c:ext xmlns:c16="http://schemas.microsoft.com/office/drawing/2014/chart" uri="{C3380CC4-5D6E-409C-BE32-E72D297353CC}">
                  <c16:uniqueId val="{0000000D-9827-4709-96C2-9ED842E212C5}"/>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0E-9827-4709-96C2-9ED842E212C5}"/>
            </c:ext>
          </c:extLst>
        </c:ser>
        <c:ser>
          <c:idx val="6"/>
          <c:order val="4"/>
          <c:tx>
            <c:strRef>
              <c:f>Data_preparationResults!$AB$13</c:f>
              <c:strCache>
                <c:ptCount val="1"/>
                <c:pt idx="0">
                  <c:v>Domain knowledge</c:v>
                </c:pt>
              </c:strCache>
            </c:strRef>
          </c:tx>
          <c:spPr>
            <a:ln w="19050" cap="rnd">
              <a:solidFill>
                <a:schemeClr val="accent1">
                  <a:lumMod val="60000"/>
                </a:schemeClr>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9827-4709-96C2-9ED842E212C5}"/>
              </c:ext>
            </c:extLst>
          </c:dPt>
          <c:dLbls>
            <c:dLbl>
              <c:idx val="0"/>
              <c:layout>
                <c:manualLayout>
                  <c:x val="5.8129885298146042E-2"/>
                  <c:y val="-2.8830692087963076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9827-4709-96C2-9ED842E212C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11-9827-4709-96C2-9ED842E212C5}"/>
            </c:ext>
          </c:extLst>
        </c:ser>
        <c:ser>
          <c:idx val="7"/>
          <c:order val="5"/>
          <c:tx>
            <c:strRef>
              <c:f>Data_preparationResults!$AB$17</c:f>
              <c:strCache>
                <c:ptCount val="1"/>
                <c:pt idx="0">
                  <c:v>Organizational support</c:v>
                </c:pt>
              </c:strCache>
            </c:strRef>
          </c:tx>
          <c:spPr>
            <a:ln w="19050" cap="rnd">
              <a:solidFill>
                <a:schemeClr val="accent2">
                  <a:lumMod val="60000"/>
                </a:schemeClr>
              </a:solidFill>
              <a:round/>
            </a:ln>
            <a:effectLst/>
          </c:spPr>
          <c:marker>
            <c:symbol val="star"/>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9827-4709-96C2-9ED842E212C5}"/>
              </c:ext>
            </c:extLst>
          </c:dPt>
          <c:dLbls>
            <c:dLbl>
              <c:idx val="0"/>
              <c:layout>
                <c:manualLayout>
                  <c:x val="0.16025058573952378"/>
                  <c:y val="5.7610455952813923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9827-4709-96C2-9ED842E212C5}"/>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4-9827-4709-96C2-9ED842E212C5}"/>
            </c:ext>
          </c:extLst>
        </c:ser>
        <c:ser>
          <c:idx val="8"/>
          <c:order val="6"/>
          <c:tx>
            <c:strRef>
              <c:f>Data_preparationResults!$AB$18</c:f>
              <c:strCache>
                <c:ptCount val="1"/>
                <c:pt idx="0">
                  <c:v>Product line awareness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16-9827-4709-96C2-9ED842E212C5}"/>
              </c:ext>
            </c:extLst>
          </c:dPt>
          <c:dLbls>
            <c:dLbl>
              <c:idx val="0"/>
              <c:layout>
                <c:manualLayout>
                  <c:x val="0.13865154085193004"/>
                  <c:y val="-1.6153041560293496E-2"/>
                </c:manualLayout>
              </c:layout>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9827-4709-96C2-9ED842E212C5}"/>
                </c:ext>
              </c:extLst>
            </c:dLbl>
            <c:spPr>
              <a:solidFill>
                <a:schemeClr val="bg1"/>
              </a:solid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7-9827-4709-96C2-9ED842E212C5}"/>
            </c:ext>
          </c:extLst>
        </c:ser>
        <c:ser>
          <c:idx val="9"/>
          <c:order val="7"/>
          <c:tx>
            <c:strRef>
              <c:f>Data_preparationResults!$AB$19</c:f>
              <c:strCache>
                <c:ptCount val="1"/>
                <c:pt idx="0">
                  <c:v> Degree of control over product specification</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19-9827-4709-96C2-9ED842E212C5}"/>
              </c:ext>
            </c:extLst>
          </c:dPt>
          <c:dLbls>
            <c:dLbl>
              <c:idx val="0"/>
              <c:layout>
                <c:manualLayout>
                  <c:x val="5.6481493200792127E-2"/>
                  <c:y val="-0.1003540916939286"/>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A-9827-4709-96C2-9ED842E212C5}"/>
            </c:ext>
          </c:extLst>
        </c:ser>
        <c:ser>
          <c:idx val="10"/>
          <c:order val="8"/>
          <c:tx>
            <c:strRef>
              <c:f>Data_preparationResults!$AB$20</c:f>
              <c:strCache>
                <c:ptCount val="1"/>
                <c:pt idx="0">
                  <c:v>Potential products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1C-9827-4709-96C2-9ED842E212C5}"/>
              </c:ext>
            </c:extLst>
          </c:dPt>
          <c:dLbls>
            <c:dLbl>
              <c:idx val="0"/>
              <c:layout>
                <c:manualLayout>
                  <c:x val="3.4753291443112351E-2"/>
                  <c:y val="-5.0469460042207023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C-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D-9827-4709-96C2-9ED842E212C5}"/>
            </c:ext>
          </c:extLst>
        </c:ser>
        <c:ser>
          <c:idx val="12"/>
          <c:order val="9"/>
          <c:tx>
            <c:strRef>
              <c:f>Data_preparationResults!$AB$21</c:f>
              <c:strCache>
                <c:ptCount val="1"/>
                <c:pt idx="0">
                  <c:v>Commonality and variability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2-9827-4709-96C2-9ED842E212C5}"/>
              </c:ext>
            </c:extLst>
          </c:dPt>
          <c:dLbls>
            <c:dLbl>
              <c:idx val="0"/>
              <c:layout>
                <c:manualLayout>
                  <c:x val="-9.981287487982303E-2"/>
                  <c:y val="-0.10615922766127757"/>
                </c:manualLayout>
              </c:layout>
              <c:spPr>
                <a:solidFill>
                  <a:schemeClr val="bg1"/>
                </a:solidFill>
                <a:ln>
                  <a:noFill/>
                </a:ln>
                <a:effectLst/>
              </c:spPr>
              <c:txPr>
                <a:bodyPr wrap="square" lIns="38100" tIns="19050" rIns="38100" bIns="19050" anchor="ctr">
                  <a:spAutoFit/>
                </a:bodyPr>
                <a:lstStyle/>
                <a:p>
                  <a:pPr>
                    <a:defRPr sz="800"/>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2-9827-4709-96C2-9ED842E212C5}"/>
                </c:ext>
              </c:extLst>
            </c:dLbl>
            <c:spPr>
              <a:noFill/>
              <a:ln>
                <a:noFill/>
              </a:ln>
              <a:effectLst/>
            </c:spPr>
            <c:txPr>
              <a:bodyPr wrap="square" lIns="38100" tIns="19050" rIns="38100" bIns="19050" anchor="ctr">
                <a:spAutoFit/>
              </a:bodyPr>
              <a:lstStyle/>
              <a:p>
                <a:pPr>
                  <a:defRPr sz="800"/>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23-9827-4709-96C2-9ED842E212C5}"/>
            </c:ext>
          </c:extLst>
        </c:ser>
        <c:ser>
          <c:idx val="13"/>
          <c:order val="10"/>
          <c:tx>
            <c:strRef>
              <c:f>Data_preparationResults!$AB$22</c:f>
              <c:strCache>
                <c:ptCount val="1"/>
                <c:pt idx="0">
                  <c:v>Software engineering capability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5-9827-4709-96C2-9ED842E212C5}"/>
              </c:ext>
            </c:extLst>
          </c:dPt>
          <c:dLbls>
            <c:dLbl>
              <c:idx val="0"/>
              <c:layout>
                <c:manualLayout>
                  <c:x val="0.12446284532058315"/>
                  <c:y val="0.19442657070616787"/>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26-9827-4709-96C2-9ED842E212C5}"/>
            </c:ext>
          </c:extLst>
        </c:ser>
        <c:ser>
          <c:idx val="14"/>
          <c:order val="11"/>
          <c:tx>
            <c:strRef>
              <c:f>Data_preparationResults!$AB$23</c:f>
              <c:strCache>
                <c:ptCount val="1"/>
                <c:pt idx="0">
                  <c:v>Reuse potential</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8-9827-4709-96C2-9ED842E212C5}"/>
              </c:ext>
            </c:extLst>
          </c:dPt>
          <c:dLbls>
            <c:dLbl>
              <c:idx val="0"/>
              <c:layout>
                <c:manualLayout>
                  <c:x val="-2.0088032216154052E-2"/>
                  <c:y val="0.25393405183715895"/>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8-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29-9827-4709-96C2-9ED842E212C5}"/>
            </c:ext>
          </c:extLst>
        </c:ser>
        <c:ser>
          <c:idx val="15"/>
          <c:order val="12"/>
          <c:tx>
            <c:strRef>
              <c:f>Data_preparationResults!$AB$24</c:f>
              <c:strCache>
                <c:ptCount val="1"/>
                <c:pt idx="0">
                  <c:v>Reuse aptitute</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B-9827-4709-96C2-9ED842E212C5}"/>
              </c:ext>
            </c:extLst>
          </c:dPt>
          <c:dLbls>
            <c:dLbl>
              <c:idx val="0"/>
              <c:layout>
                <c:manualLayout>
                  <c:x val="1.0290177124999491E-2"/>
                  <c:y val="-9.0283672248045427E-2"/>
                </c:manualLayout>
              </c:layout>
              <c:spPr>
                <a:solidFill>
                  <a:sysClr val="window" lastClr="FFFFFF"/>
                </a:solidFill>
                <a:ln>
                  <a:solidFill>
                    <a:sysClr val="window" lastClr="FFFFFF">
                      <a:lumMod val="65000"/>
                    </a:sysClr>
                  </a:solidFill>
                </a:ln>
                <a:effectLst/>
              </c:spPr>
              <c:txPr>
                <a:bodyPr wrap="square" lIns="38100" tIns="19050" rIns="38100" bIns="19050" anchor="ctr">
                  <a:noAutofit/>
                </a:bodyPr>
                <a:lstStyle/>
                <a:p>
                  <a:pPr>
                    <a:defRPr sz="900">
                      <a:solidFill>
                        <a:schemeClr val="tx1">
                          <a:lumMod val="65000"/>
                          <a:lumOff val="35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6114700151197855"/>
                      <c:h val="9.3624370881911098E-2"/>
                    </c:manualLayout>
                  </c15:layout>
                </c:ext>
                <c:ext xmlns:c16="http://schemas.microsoft.com/office/drawing/2014/chart" uri="{C3380CC4-5D6E-409C-BE32-E72D297353CC}">
                  <c16:uniqueId val="{0000002B-9827-4709-96C2-9ED842E212C5}"/>
                </c:ext>
              </c:extLst>
            </c:dLbl>
            <c:spPr>
              <a:solidFill>
                <a:sysClr val="window" lastClr="FFFFFF"/>
              </a:solidFill>
              <a:ln>
                <a:solidFill>
                  <a:schemeClr val="bg1">
                    <a:lumMod val="65000"/>
                  </a:scheme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2C-9827-4709-96C2-9ED842E212C5}"/>
            </c:ext>
          </c:extLst>
        </c:ser>
        <c:ser>
          <c:idx val="3"/>
          <c:order val="13"/>
          <c:tx>
            <c:strRef>
              <c:f>Data_preparationResults!$AB$11</c:f>
              <c:strCache>
                <c:ptCount val="1"/>
                <c:pt idx="0">
                  <c:v>Readiness to pay migration costs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E-9827-4709-96C2-9ED842E212C5}"/>
              </c:ext>
            </c:extLst>
          </c:dPt>
          <c:dLbls>
            <c:dLbl>
              <c:idx val="0"/>
              <c:layout>
                <c:manualLayout>
                  <c:x val="-0.22755019624880976"/>
                  <c:y val="4.4177344285353429E-2"/>
                </c:manualLayout>
              </c:layout>
              <c:spPr>
                <a:solidFill>
                  <a:sysClr val="window" lastClr="FFFFFF"/>
                </a:solidFill>
                <a:ln>
                  <a:solidFill>
                    <a:sysClr val="window" lastClr="FFFFFF">
                      <a:lumMod val="65000"/>
                    </a:sysClr>
                  </a:solidFill>
                </a:ln>
                <a:effectLst/>
              </c:spPr>
              <c:txPr>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2E-9827-4709-96C2-9ED842E212C5}"/>
                </c:ext>
              </c:extLst>
            </c:dLbl>
            <c:spPr>
              <a:no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2F-9827-4709-96C2-9ED842E212C5}"/>
            </c:ext>
          </c:extLst>
        </c:ser>
        <c:dLbls>
          <c:dLblPos val="t"/>
          <c:showLegendKey val="0"/>
          <c:showVal val="1"/>
          <c:showCatName val="0"/>
          <c:showSerName val="0"/>
          <c:showPercent val="0"/>
          <c:showBubbleSize val="0"/>
        </c:dLbls>
        <c:axId val="94803840"/>
        <c:axId val="94818304"/>
      </c:scatterChart>
      <c:valAx>
        <c:axId val="94803840"/>
        <c:scaling>
          <c:orientation val="maxMin"/>
          <c:max val="3"/>
          <c:min val="1"/>
        </c:scaling>
        <c:delete val="1"/>
        <c:axPos val="b"/>
        <c:majorGridlines>
          <c:spPr>
            <a:ln w="9525" cap="flat" cmpd="dbl" algn="ctr">
              <a:solidFill>
                <a:schemeClr val="tx1"/>
              </a:solidFill>
              <a:prstDash val="sysDash"/>
              <a:round/>
            </a:ln>
            <a:effectLst/>
          </c:spPr>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chemeClr val="tx1">
                        <a:lumMod val="65000"/>
                        <a:lumOff val="35000"/>
                      </a:schemeClr>
                    </a:solidFill>
                    <a:latin typeface="+mn-lt"/>
                    <a:ea typeface="+mn-ea"/>
                    <a:cs typeface="+mn-cs"/>
                  </a:defRPr>
                </a:pPr>
                <a:r>
                  <a:rPr lang="x-none" sz="1800" b="1" i="0" baseline="0">
                    <a:solidFill>
                      <a:schemeClr val="tx1">
                        <a:lumMod val="65000"/>
                        <a:lumOff val="35000"/>
                      </a:schemeClr>
                    </a:solidFill>
                    <a:effectLst/>
                  </a:rPr>
                  <a:t>Relative importance</a:t>
                </a:r>
                <a:endParaRPr lang="x-none" sz="1800">
                  <a:solidFill>
                    <a:schemeClr val="tx1">
                      <a:lumMod val="65000"/>
                      <a:lumOff val="35000"/>
                    </a:schemeClr>
                  </a:solidFill>
                  <a:effectLst/>
                </a:endParaRPr>
              </a:p>
            </c:rich>
          </c:tx>
          <c:layout>
            <c:manualLayout>
              <c:xMode val="edge"/>
              <c:yMode val="edge"/>
              <c:x val="0.26043480312605838"/>
              <c:y val="0.94192753481687108"/>
            </c:manualLayout>
          </c:layout>
          <c:overlay val="0"/>
        </c:title>
        <c:numFmt formatCode="General" sourceLinked="1"/>
        <c:majorTickMark val="none"/>
        <c:minorTickMark val="none"/>
        <c:tickLblPos val="low"/>
        <c:crossAx val="94818304"/>
        <c:crossesAt val="3"/>
        <c:crossBetween val="midCat"/>
        <c:majorUnit val="1"/>
      </c:valAx>
      <c:valAx>
        <c:axId val="94818304"/>
        <c:scaling>
          <c:orientation val="minMax"/>
          <c:max val="2.9899999999999998"/>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Weaknesses</a:t>
                </a:r>
              </a:p>
            </c:rich>
          </c:tx>
          <c:layout>
            <c:manualLayout>
              <c:xMode val="edge"/>
              <c:yMode val="edge"/>
              <c:x val="0.90455410873190045"/>
              <c:y val="0.26493654240106179"/>
            </c:manualLayout>
          </c:layout>
          <c:overlay val="0"/>
          <c:spPr>
            <a:noFill/>
            <a:ln>
              <a:noFill/>
            </a:ln>
            <a:effectLst/>
          </c:sp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03840"/>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x-none" sz="1600" b="1">
                <a:solidFill>
                  <a:schemeClr val="tx1">
                    <a:lumMod val="95000"/>
                    <a:lumOff val="5000"/>
                  </a:schemeClr>
                </a:solidFill>
              </a:rPr>
              <a:t>External criteria</a:t>
            </a:r>
          </a:p>
        </c:rich>
      </c:tx>
      <c:layout>
        <c:manualLayout>
          <c:xMode val="edge"/>
          <c:yMode val="edge"/>
          <c:x val="2.0486635534553814E-3"/>
          <c:y val="5.6560956880258627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8060650804128364"/>
          <c:y val="0.15255634191129974"/>
          <c:w val="0.76269944867403683"/>
          <c:h val="0.76336629956949986"/>
        </c:manualLayout>
      </c:layout>
      <c:scatterChart>
        <c:scatterStyle val="lineMarker"/>
        <c:varyColors val="0"/>
        <c:ser>
          <c:idx val="0"/>
          <c:order val="0"/>
          <c:tx>
            <c:strRef>
              <c:f>Data_preparationResults!$AB$16</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28D6-41D7-9A51-990AE5C2A88F}"/>
              </c:ext>
            </c:extLst>
          </c:dPt>
          <c:dLbls>
            <c:dLbl>
              <c:idx val="0"/>
              <c:layout>
                <c:manualLayout>
                  <c:x val="-0.1111283270736947"/>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8D6-41D7-9A51-990AE5C2A8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Data_preparationResults!$AF$16</c:f>
              <c:numCache>
                <c:formatCode>General</c:formatCode>
                <c:ptCount val="1"/>
                <c:pt idx="0">
                  <c:v>3</c:v>
                </c:pt>
              </c:numCache>
            </c:numRef>
          </c:xVal>
          <c:yVal>
            <c:numRef>
              <c:f>Data_preparationResults!$AD$16</c:f>
              <c:numCache>
                <c:formatCode>0.00</c:formatCode>
                <c:ptCount val="1"/>
                <c:pt idx="0">
                  <c:v>0</c:v>
                </c:pt>
              </c:numCache>
            </c:numRef>
          </c:yVal>
          <c:smooth val="0"/>
          <c:extLst>
            <c:ext xmlns:c16="http://schemas.microsoft.com/office/drawing/2014/chart" uri="{C3380CC4-5D6E-409C-BE32-E72D297353CC}">
              <c16:uniqueId val="{00000002-28D6-41D7-9A51-990AE5C2A88F}"/>
            </c:ext>
          </c:extLst>
        </c:ser>
        <c:dLbls>
          <c:dLblPos val="t"/>
          <c:showLegendKey val="0"/>
          <c:showVal val="1"/>
          <c:showCatName val="0"/>
          <c:showSerName val="0"/>
          <c:showPercent val="0"/>
          <c:showBubbleSize val="0"/>
        </c:dLbls>
        <c:axId val="94835072"/>
        <c:axId val="94847360"/>
      </c:scatterChart>
      <c:valAx>
        <c:axId val="94835072"/>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r>
                  <a:rPr lang="x-none" sz="1400" b="1"/>
                  <a:t>Relative importance</a:t>
                </a:r>
              </a:p>
            </c:rich>
          </c:tx>
          <c:layout>
            <c:manualLayout>
              <c:xMode val="edge"/>
              <c:yMode val="edge"/>
              <c:x val="0.42439156506688447"/>
              <c:y val="5.6389482235484921E-2"/>
            </c:manualLayout>
          </c:layout>
          <c:overlay val="0"/>
          <c:spPr>
            <a:noFill/>
            <a:ln>
              <a:noFill/>
            </a:ln>
            <a:effectLst/>
          </c:spPr>
          <c:txPr>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94847360"/>
        <c:crossesAt val="3"/>
        <c:crossBetween val="midCat"/>
        <c:majorUnit val="1"/>
      </c:valAx>
      <c:valAx>
        <c:axId val="94847360"/>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r>
                  <a:rPr lang="x-none" sz="2800" b="1"/>
                  <a:t>Opportunities</a:t>
                </a:r>
              </a:p>
            </c:rich>
          </c:tx>
          <c:layout>
            <c:manualLayout>
              <c:xMode val="edge"/>
              <c:yMode val="edge"/>
              <c:x val="6.0134633595991971E-4"/>
              <c:y val="0.29261752049259776"/>
            </c:manualLayout>
          </c:layout>
          <c:overlay val="0"/>
          <c:spPr>
            <a:noFill/>
            <a:ln>
              <a:noFill/>
            </a:ln>
            <a:effectLst/>
          </c:spPr>
          <c:txPr>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35072"/>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5389868824742"/>
          <c:y val="6.8007003825894502E-2"/>
          <c:w val="0.78379236966737242"/>
          <c:h val="0.79847468760942641"/>
        </c:manualLayout>
      </c:layout>
      <c:scatterChart>
        <c:scatterStyle val="lineMarker"/>
        <c:varyColors val="0"/>
        <c:ser>
          <c:idx val="0"/>
          <c:order val="0"/>
          <c:tx>
            <c:strRef>
              <c:f>Data_preparationResults!$AB$16</c:f>
              <c:strCache>
                <c:ptCount val="1"/>
                <c:pt idx="0">
                  <c:v>Market potential</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0C7B-4A79-842F-A6CE0E9D68B3}"/>
              </c:ext>
            </c:extLst>
          </c:dPt>
          <c:dLbls>
            <c:dLbl>
              <c:idx val="0"/>
              <c:layout>
                <c:manualLayout>
                  <c:x val="-0.11573053803013239"/>
                  <c:y val="-3.021036643747227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0C7B-4A79-842F-A6CE0E9D68B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Data_preparationResults!$AF$16</c:f>
              <c:numCache>
                <c:formatCode>General</c:formatCode>
                <c:ptCount val="1"/>
                <c:pt idx="0">
                  <c:v>3</c:v>
                </c:pt>
              </c:numCache>
            </c:numRef>
          </c:xVal>
          <c:yVal>
            <c:numRef>
              <c:f>Data_preparationResults!$AD$16</c:f>
              <c:numCache>
                <c:formatCode>0.00</c:formatCode>
                <c:ptCount val="1"/>
                <c:pt idx="0">
                  <c:v>0</c:v>
                </c:pt>
              </c:numCache>
            </c:numRef>
          </c:yVal>
          <c:smooth val="0"/>
          <c:extLst>
            <c:ext xmlns:c16="http://schemas.microsoft.com/office/drawing/2014/chart" uri="{C3380CC4-5D6E-409C-BE32-E72D297353CC}">
              <c16:uniqueId val="{00000002-0C7B-4A79-842F-A6CE0E9D68B3}"/>
            </c:ext>
          </c:extLst>
        </c:ser>
        <c:dLbls>
          <c:dLblPos val="t"/>
          <c:showLegendKey val="0"/>
          <c:showVal val="1"/>
          <c:showCatName val="0"/>
          <c:showSerName val="0"/>
          <c:showPercent val="0"/>
          <c:showBubbleSize val="0"/>
        </c:dLbls>
        <c:axId val="94857856"/>
        <c:axId val="94874240"/>
      </c:scatterChart>
      <c:valAx>
        <c:axId val="94857856"/>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x-none" sz="1600" b="1"/>
                  <a:t>Relative importance</a:t>
                </a:r>
              </a:p>
            </c:rich>
          </c:tx>
          <c:layout>
            <c:manualLayout>
              <c:xMode val="edge"/>
              <c:yMode val="edge"/>
              <c:x val="0.38101295611081742"/>
              <c:y val="0.9214404348656671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low"/>
        <c:crossAx val="94874240"/>
        <c:crossesAt val="3"/>
        <c:crossBetween val="midCat"/>
        <c:majorUnit val="1"/>
      </c:valAx>
      <c:valAx>
        <c:axId val="94874240"/>
        <c:scaling>
          <c:orientation val="minMax"/>
          <c:max val="2.9899999999999998"/>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Threats</a:t>
                </a:r>
              </a:p>
            </c:rich>
          </c:tx>
          <c:layout>
            <c:manualLayout>
              <c:xMode val="edge"/>
              <c:yMode val="edge"/>
              <c:x val="0"/>
              <c:y val="0.36087790662964075"/>
            </c:manualLayout>
          </c:layout>
          <c:overlay val="0"/>
          <c:spPr>
            <a:noFill/>
            <a:ln>
              <a:noFill/>
            </a:ln>
            <a:effectLst/>
          </c:spPr>
          <c:txPr>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57856"/>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x-none" sz="1600" b="1">
                <a:solidFill>
                  <a:schemeClr val="tx1"/>
                </a:solidFill>
              </a:rPr>
              <a:t>Internal criteria</a:t>
            </a:r>
          </a:p>
        </c:rich>
      </c:tx>
      <c:layout>
        <c:manualLayout>
          <c:xMode val="edge"/>
          <c:yMode val="edge"/>
          <c:x val="0.74735938840472071"/>
          <c:y val="4.6082322932171548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s-419"/>
        </a:p>
      </c:txPr>
    </c:title>
    <c:autoTitleDeleted val="0"/>
    <c:plotArea>
      <c:layout>
        <c:manualLayout>
          <c:layoutTarget val="inner"/>
          <c:xMode val="edge"/>
          <c:yMode val="edge"/>
          <c:x val="1.1271775157884825E-2"/>
          <c:y val="0.14493458302557582"/>
          <c:w val="0.72726555858281161"/>
          <c:h val="0.76191095516929774"/>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F84A-45D0-B95D-63BCFF1AE059}"/>
              </c:ext>
            </c:extLst>
          </c:dPt>
          <c:dLbls>
            <c:dLbl>
              <c:idx val="0"/>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02-F84A-45D0-B95D-63BCFF1AE059}"/>
            </c:ext>
          </c:extLst>
        </c:ser>
        <c:ser>
          <c:idx val="1"/>
          <c:order val="1"/>
          <c:tx>
            <c:strRef>
              <c:f>Data_preparationResults!#REF!</c:f>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84A-45D0-B95D-63BCFF1AE059}"/>
              </c:ext>
            </c:extLst>
          </c:dPt>
          <c:dLbls>
            <c:dLbl>
              <c:idx val="0"/>
              <c:layout>
                <c:manualLayout>
                  <c:x val="-0.25369227617684559"/>
                  <c:y val="2.202655570770800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05-F84A-45D0-B95D-63BCFF1AE059}"/>
            </c:ext>
          </c:extLst>
        </c:ser>
        <c:ser>
          <c:idx val="2"/>
          <c:order val="2"/>
          <c:tx>
            <c:strRef>
              <c:f>Data_preparationResults!$AB$12</c:f>
              <c:strCache>
                <c:ptCount val="1"/>
                <c:pt idx="0">
                  <c:v>Openness</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84A-45D0-B95D-63BCFF1AE059}"/>
              </c:ext>
            </c:extLst>
          </c:dPt>
          <c:dLbls>
            <c:dLbl>
              <c:idx val="0"/>
              <c:layout>
                <c:manualLayout>
                  <c:x val="0.11938960791045751"/>
                  <c:y val="2.57967648732817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F84A-45D0-B95D-63BCFF1AE059}"/>
                </c:ext>
              </c:extLst>
            </c:dLbl>
            <c:spPr>
              <a:noFill/>
              <a:ln>
                <a:noFill/>
              </a:ln>
              <a:effectLst/>
            </c:spPr>
            <c:txPr>
              <a:bodyPr rot="0" spcFirstLastPara="1" vertOverflow="ellipsis"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08-F84A-45D0-B95D-63BCFF1AE059}"/>
            </c:ext>
          </c:extLst>
        </c:ser>
        <c:ser>
          <c:idx val="4"/>
          <c:order val="3"/>
          <c:tx>
            <c:strRef>
              <c:f>Data_preparationResults!$AB$14</c:f>
              <c:strCache>
                <c:ptCount val="1"/>
                <c:pt idx="0">
                  <c:v>Process discipline</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F84A-45D0-B95D-63BCFF1AE059}"/>
              </c:ext>
            </c:extLst>
          </c:dPt>
          <c:dLbls>
            <c:dLbl>
              <c:idx val="0"/>
              <c:layout>
                <c:manualLayout>
                  <c:x val="-2.8307804603481541E-2"/>
                  <c:y val="-0.149185466347524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F84A-45D0-B95D-63BCFF1AE059}"/>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0B-F84A-45D0-B95D-63BCFF1AE059}"/>
            </c:ext>
          </c:extLst>
        </c:ser>
        <c:ser>
          <c:idx val="3"/>
          <c:order val="4"/>
          <c:tx>
            <c:strRef>
              <c:f>Data_preparationResults!$AB$15</c:f>
              <c:strCache>
                <c:ptCount val="1"/>
                <c:pt idx="0">
                  <c:v>Commitment of key actors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F84A-45D0-B95D-63BCFF1AE059}"/>
              </c:ext>
            </c:extLst>
          </c:dPt>
          <c:dLbls>
            <c:dLbl>
              <c:idx val="0"/>
              <c:layout>
                <c:manualLayout>
                  <c:x val="0.14707090857249169"/>
                  <c:y val="4.1778929758111628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0E-F84A-45D0-B95D-63BCFF1AE059}"/>
            </c:ext>
          </c:extLst>
        </c:ser>
        <c:ser>
          <c:idx val="6"/>
          <c:order val="5"/>
          <c:tx>
            <c:strRef>
              <c:f>Data_preparationResults!$AB$17</c:f>
              <c:strCache>
                <c:ptCount val="1"/>
                <c:pt idx="0">
                  <c:v>Organizational support</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F84A-45D0-B95D-63BCFF1AE059}"/>
              </c:ext>
            </c:extLst>
          </c:dPt>
          <c:dLbls>
            <c:dLbl>
              <c:idx val="0"/>
              <c:layout>
                <c:manualLayout>
                  <c:x val="0.16072707833046471"/>
                  <c:y val="2.50360299548562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no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5804523549234051"/>
                      <c:h val="0.11748273928437439"/>
                    </c:manualLayout>
                  </c15:layout>
                </c:ext>
                <c:ext xmlns:c16="http://schemas.microsoft.com/office/drawing/2014/chart" uri="{C3380CC4-5D6E-409C-BE32-E72D297353CC}">
                  <c16:uniqueId val="{00000010-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1-F84A-45D0-B95D-63BCFF1AE059}"/>
            </c:ext>
          </c:extLst>
        </c:ser>
        <c:ser>
          <c:idx val="7"/>
          <c:order val="6"/>
          <c:tx>
            <c:strRef>
              <c:f>Data_preparationResults!$AB$18</c:f>
              <c:strCache>
                <c:ptCount val="1"/>
                <c:pt idx="0">
                  <c:v>Product line awareness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F84A-45D0-B95D-63BCFF1AE059}"/>
              </c:ext>
            </c:extLst>
          </c:dPt>
          <c:dLbls>
            <c:dLbl>
              <c:idx val="0"/>
              <c:layout>
                <c:manualLayout>
                  <c:x val="0.25073853263276752"/>
                  <c:y val="-2.15340754112126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3-F84A-45D0-B95D-63BCFF1AE059}"/>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4-F84A-45D0-B95D-63BCFF1AE059}"/>
            </c:ext>
          </c:extLst>
        </c:ser>
        <c:ser>
          <c:idx val="8"/>
          <c:order val="7"/>
          <c:tx>
            <c:strRef>
              <c:f>Data_preparationResults!$AB$19</c:f>
              <c:strCache>
                <c:ptCount val="1"/>
                <c:pt idx="0">
                  <c:v> Degree of control over product specification</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F84A-45D0-B95D-63BCFF1AE059}"/>
              </c:ext>
            </c:extLst>
          </c:dPt>
          <c:dLbls>
            <c:dLbl>
              <c:idx val="0"/>
              <c:layout>
                <c:manualLayout>
                  <c:x val="3.9514940662703051E-2"/>
                  <c:y val="-3.53884765576626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7-F84A-45D0-B95D-63BCFF1AE059}"/>
            </c:ext>
          </c:extLst>
        </c:ser>
        <c:ser>
          <c:idx val="9"/>
          <c:order val="8"/>
          <c:tx>
            <c:strRef>
              <c:f>Data_preparationResults!$AB$20</c:f>
              <c:strCache>
                <c:ptCount val="1"/>
                <c:pt idx="0">
                  <c:v>Potential products</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9-F84A-45D0-B95D-63BCFF1AE059}"/>
              </c:ext>
            </c:extLst>
          </c:dPt>
          <c:dLbls>
            <c:dLbl>
              <c:idx val="0"/>
              <c:layout>
                <c:manualLayout>
                  <c:x val="3.3832876244946394E-2"/>
                  <c:y val="-2.328813180282272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A-F84A-45D0-B95D-63BCFF1AE059}"/>
            </c:ext>
          </c:extLst>
        </c:ser>
        <c:ser>
          <c:idx val="10"/>
          <c:order val="9"/>
          <c:tx>
            <c:strRef>
              <c:f>Data_preparationResults!#REF!</c:f>
              <c:strCache>
                <c:ptCount val="1"/>
                <c:pt idx="0">
                  <c:v>#REF!</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C-F84A-45D0-B95D-63BCFF1AE059}"/>
              </c:ext>
            </c:extLst>
          </c:dPt>
          <c:dLbls>
            <c:dLbl>
              <c:idx val="0"/>
              <c:layout>
                <c:manualLayout>
                  <c:x val="2.2793634055085214E-2"/>
                  <c:y val="-7.2313746761012765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C-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1D-F84A-45D0-B95D-63BCFF1AE059}"/>
            </c:ext>
          </c:extLst>
        </c:ser>
        <c:ser>
          <c:idx val="11"/>
          <c:order val="10"/>
          <c:tx>
            <c:strRef>
              <c:f>Data_preparationResults!$AB$21</c:f>
              <c:strCache>
                <c:ptCount val="1"/>
                <c:pt idx="0">
                  <c:v>Commonality and variability</c:v>
                </c:pt>
              </c:strCache>
            </c:strRef>
          </c:tx>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F-F84A-45D0-B95D-63BCFF1AE059}"/>
              </c:ext>
            </c:extLst>
          </c:dPt>
          <c:dLbls>
            <c:dLbl>
              <c:idx val="0"/>
              <c:layout>
                <c:manualLayout>
                  <c:x val="4.5699654701956888E-2"/>
                  <c:y val="5.7634646138998248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F-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20-F84A-45D0-B95D-63BCFF1AE059}"/>
            </c:ext>
          </c:extLst>
        </c:ser>
        <c:ser>
          <c:idx val="12"/>
          <c:order val="11"/>
          <c:tx>
            <c:strRef>
              <c:f>Data_preparationResults!$AB$22</c:f>
              <c:strCache>
                <c:ptCount val="1"/>
                <c:pt idx="0">
                  <c:v>Software engineering capability</c:v>
                </c:pt>
              </c:strCache>
            </c:strRef>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2-F84A-45D0-B95D-63BCFF1AE059}"/>
              </c:ext>
            </c:extLst>
          </c:dPt>
          <c:dLbls>
            <c:dLbl>
              <c:idx val="0"/>
              <c:layout>
                <c:manualLayout>
                  <c:x val="7.7497907469455909E-2"/>
                  <c:y val="-0.19105530033007345"/>
                </c:manualLayout>
              </c:layout>
              <c:showLegendKey val="0"/>
              <c:showVal val="1"/>
              <c:showCatName val="0"/>
              <c:showSerName val="1"/>
              <c:showPercent val="0"/>
              <c:showBubbleSize val="0"/>
              <c:separator>; </c:separator>
              <c:extLst>
                <c:ext xmlns:c15="http://schemas.microsoft.com/office/drawing/2012/chart" uri="{CE6537A1-D6FC-4f65-9D91-7224C49458BB}">
                  <c15:layout>
                    <c:manualLayout>
                      <c:w val="0.19956533640660656"/>
                      <c:h val="0.1062943405818871"/>
                    </c:manualLayout>
                  </c15:layout>
                </c:ext>
                <c:ext xmlns:c16="http://schemas.microsoft.com/office/drawing/2014/chart" uri="{C3380CC4-5D6E-409C-BE32-E72D297353CC}">
                  <c16:uniqueId val="{00000022-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23-F84A-45D0-B95D-63BCFF1AE059}"/>
            </c:ext>
          </c:extLst>
        </c:ser>
        <c:ser>
          <c:idx val="13"/>
          <c:order val="12"/>
          <c:tx>
            <c:strRef>
              <c:f>Data_preparationResults!$AB$23</c:f>
              <c:strCache>
                <c:ptCount val="1"/>
                <c:pt idx="0">
                  <c:v>Reuse potential</c:v>
                </c:pt>
              </c:strCache>
            </c:strRef>
          </c:tx>
          <c:spPr>
            <a:ln w="19050" cap="rnd">
              <a:solidFill>
                <a:schemeClr val="accent2">
                  <a:lumMod val="80000"/>
                  <a:lumOff val="20000"/>
                </a:schemeClr>
              </a:solidFill>
              <a:round/>
            </a:ln>
            <a:effectLst/>
          </c:spPr>
          <c:marker>
            <c:symbol val="circle"/>
            <c:size val="5"/>
            <c:spPr>
              <a:solidFill>
                <a:schemeClr val="accent1">
                  <a:lumMod val="50000"/>
                </a:schemeClr>
              </a:solidFill>
              <a:ln w="9525">
                <a:solidFill>
                  <a:schemeClr val="accent2">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5-F84A-45D0-B95D-63BCFF1AE059}"/>
              </c:ext>
            </c:extLst>
          </c:dPt>
          <c:dLbls>
            <c:dLbl>
              <c:idx val="0"/>
              <c:layout>
                <c:manualLayout>
                  <c:x val="3.9043204272948565E-2"/>
                  <c:y val="0.20162959482518289"/>
                </c:manualLayout>
              </c:layout>
              <c:spPr>
                <a:solidFill>
                  <a:sysClr val="window" lastClr="FFFFFF"/>
                </a:solidFill>
                <a:ln>
                  <a:solidFill>
                    <a:sysClr val="window" lastClr="FFFFFF">
                      <a:lumMod val="50000"/>
                      <a:alpha val="94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76323505313007"/>
                      <c:h val="8.2595390195635845E-2"/>
                    </c:manualLayout>
                  </c15:layout>
                </c:ext>
                <c:ext xmlns:c16="http://schemas.microsoft.com/office/drawing/2014/chart" uri="{C3380CC4-5D6E-409C-BE32-E72D297353CC}">
                  <c16:uniqueId val="{00000025-F84A-45D0-B95D-63BCFF1AE059}"/>
                </c:ext>
              </c:extLst>
            </c:dLbl>
            <c:spPr>
              <a:solidFill>
                <a:schemeClr val="lt1"/>
              </a:solidFill>
              <a:ln>
                <a:solidFill>
                  <a:schemeClr val="bg1">
                    <a:lumMod val="50000"/>
                    <a:alpha val="94000"/>
                  </a:scheme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26-F84A-45D0-B95D-63BCFF1AE059}"/>
            </c:ext>
          </c:extLst>
        </c:ser>
        <c:ser>
          <c:idx val="14"/>
          <c:order val="13"/>
          <c:tx>
            <c:strRef>
              <c:f>Data_preparationResults!$AB$24</c:f>
              <c:strCache>
                <c:ptCount val="1"/>
                <c:pt idx="0">
                  <c:v>Reuse aptitute</c:v>
                </c:pt>
              </c:strCache>
            </c:strRef>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8-F84A-45D0-B95D-63BCFF1AE059}"/>
              </c:ext>
            </c:extLst>
          </c:dPt>
          <c:dLbls>
            <c:dLbl>
              <c:idx val="0"/>
              <c:layout>
                <c:manualLayout>
                  <c:x val="-0.19370305086043388"/>
                  <c:y val="-3.079635245091689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8-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29-F84A-45D0-B95D-63BCFF1AE059}"/>
            </c:ext>
          </c:extLst>
        </c:ser>
        <c:ser>
          <c:idx val="15"/>
          <c:order val="14"/>
          <c:tx>
            <c:strRef>
              <c:f>'APPLIES-preparation'!$D$9</c:f>
              <c:strCache>
                <c:ptCount val="1"/>
                <c:pt idx="0">
                  <c:v> Degree of control over product specification</c:v>
                </c:pt>
              </c:strCache>
            </c:strRef>
          </c:tx>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B-F84A-45D0-B95D-63BCFF1AE059}"/>
              </c:ext>
            </c:extLst>
          </c:dPt>
          <c:dLbls>
            <c:dLbl>
              <c:idx val="0"/>
              <c:layout>
                <c:manualLayout>
                  <c:x val="-0.25662941390495692"/>
                  <c:y val="0.1162458235983314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161305143942896"/>
                      <c:h val="0.11718918216716433"/>
                    </c:manualLayout>
                  </c15:layout>
                </c:ext>
                <c:ext xmlns:c16="http://schemas.microsoft.com/office/drawing/2014/chart" uri="{C3380CC4-5D6E-409C-BE32-E72D297353CC}">
                  <c16:uniqueId val="{0000002B-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'APPLIES-preparation'!$W$9</c:f>
            </c:numRef>
          </c:xVal>
          <c:yVal>
            <c:numRef>
              <c:f>'APPLIES-preparation'!$AC$9</c:f>
              <c:numCache>
                <c:formatCode>0.00</c:formatCode>
                <c:ptCount val="1"/>
                <c:pt idx="0">
                  <c:v>0</c:v>
                </c:pt>
              </c:numCache>
            </c:numRef>
          </c:yVal>
          <c:smooth val="0"/>
          <c:extLst>
            <c:ext xmlns:c16="http://schemas.microsoft.com/office/drawing/2014/chart" uri="{C3380CC4-5D6E-409C-BE32-E72D297353CC}">
              <c16:uniqueId val="{0000002C-F84A-45D0-B95D-63BCFF1AE059}"/>
            </c:ext>
          </c:extLst>
        </c:ser>
        <c:ser>
          <c:idx val="16"/>
          <c:order val="15"/>
          <c:tx>
            <c:strRef>
              <c:f>Data_preparationResults!$AB$11</c:f>
              <c:strCache>
                <c:ptCount val="1"/>
                <c:pt idx="0">
                  <c:v>Readiness to pay migration costs</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E-F84A-45D0-B95D-63BCFF1AE059}"/>
              </c:ext>
            </c:extLst>
          </c:dPt>
          <c:dLbls>
            <c:dLbl>
              <c:idx val="0"/>
              <c:layout>
                <c:manualLayout>
                  <c:x val="-0.23057671240291011"/>
                  <c:y val="-2.431630961899597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E-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2F-F84A-45D0-B95D-63BCFF1AE059}"/>
            </c:ext>
          </c:extLst>
        </c:ser>
        <c:ser>
          <c:idx val="5"/>
          <c:order val="16"/>
          <c:tx>
            <c:strRef>
              <c:f>Data_preparationResults!$AB$13</c:f>
              <c:strCache>
                <c:ptCount val="1"/>
                <c:pt idx="0">
                  <c:v>Domain knowledge</c:v>
                </c:pt>
              </c:strCache>
            </c:strRef>
          </c:tx>
          <c:spPr>
            <a:ln w="19050" cap="rnd">
              <a:solidFill>
                <a:schemeClr val="accent1">
                  <a:lumMod val="75000"/>
                </a:schemeClr>
              </a:solidFill>
              <a:round/>
            </a:ln>
            <a:effectLst/>
          </c:spPr>
          <c:marker>
            <c:symbol val="square"/>
            <c:size val="5"/>
            <c:spPr>
              <a:solidFill>
                <a:schemeClr val="accent1">
                  <a:lumMod val="75000"/>
                </a:schemeClr>
              </a:solidFill>
              <a:ln w="9525">
                <a:solidFill>
                  <a:schemeClr val="accent6"/>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1-F84A-45D0-B95D-63BCFF1AE059}"/>
              </c:ext>
            </c:extLst>
          </c:dPt>
          <c:dLbls>
            <c:dLbl>
              <c:idx val="0"/>
              <c:layout>
                <c:manualLayout>
                  <c:x val="9.3245045821492741E-3"/>
                  <c:y val="0.1845769956878982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31-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32-F84A-45D0-B95D-63BCFF1AE059}"/>
            </c:ext>
          </c:extLst>
        </c:ser>
        <c:dLbls>
          <c:showLegendKey val="0"/>
          <c:showVal val="0"/>
          <c:showCatName val="0"/>
          <c:showSerName val="0"/>
          <c:showPercent val="0"/>
          <c:showBubbleSize val="0"/>
        </c:dLbls>
        <c:axId val="101475456"/>
        <c:axId val="101477376"/>
      </c:scatterChart>
      <c:valAx>
        <c:axId val="101475456"/>
        <c:scaling>
          <c:orientation val="maxMin"/>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sz="1400" b="1" i="0" baseline="0">
                    <a:effectLst/>
                  </a:rPr>
                  <a:t>Relative importance</a:t>
                </a:r>
                <a:endParaRPr lang="x-none" sz="900">
                  <a:effectLst/>
                </a:endParaRPr>
              </a:p>
            </c:rich>
          </c:tx>
          <c:layout>
            <c:manualLayout>
              <c:xMode val="edge"/>
              <c:yMode val="edge"/>
              <c:x val="0.28251492633343134"/>
              <c:y val="5.057678560762393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101477376"/>
        <c:crossesAt val="3"/>
        <c:crossBetween val="midCat"/>
        <c:majorUnit val="1"/>
      </c:valAx>
      <c:valAx>
        <c:axId val="101477376"/>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Strengths</a:t>
                </a:r>
              </a:p>
            </c:rich>
          </c:tx>
          <c:layout>
            <c:manualLayout>
              <c:xMode val="edge"/>
              <c:yMode val="edge"/>
              <c:x val="0.84449276242280347"/>
              <c:y val="0.31864233348018106"/>
            </c:manualLayout>
          </c:layout>
          <c:overlay val="0"/>
          <c:spPr>
            <a:noFill/>
            <a:ln>
              <a:noFill/>
            </a:ln>
            <a:effectLst/>
          </c:spPr>
          <c:txPr>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147545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Feasibility</a:t>
            </a:r>
            <a:r>
              <a:rPr lang="x-none" baseline="0"/>
              <a:t> matrix</a:t>
            </a:r>
            <a:endParaRPr lang="x-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SummaryMatrix!$J$2</c:f>
              <c:numCache>
                <c:formatCode>General</c:formatCode>
                <c:ptCount val="1"/>
                <c:pt idx="0">
                  <c:v>1.5</c:v>
                </c:pt>
              </c:numCache>
            </c:numRef>
          </c:xVal>
          <c:yVal>
            <c:numRef>
              <c:f>SummaryMatrix!$I$2</c:f>
              <c:numCache>
                <c:formatCode>0.00</c:formatCode>
                <c:ptCount val="1"/>
                <c:pt idx="0">
                  <c:v>0</c:v>
                </c:pt>
              </c:numCache>
            </c:numRef>
          </c:yVal>
          <c:smooth val="0"/>
          <c:extLst>
            <c:ext xmlns:c16="http://schemas.microsoft.com/office/drawing/2014/chart" uri="{C3380CC4-5D6E-409C-BE32-E72D297353CC}">
              <c16:uniqueId val="{00000000-9138-4DD1-944D-79550AA1AF45}"/>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SummaryMatrix!$J$3</c:f>
              <c:numCache>
                <c:formatCode>General</c:formatCode>
                <c:ptCount val="1"/>
                <c:pt idx="0">
                  <c:v>1.5</c:v>
                </c:pt>
              </c:numCache>
            </c:numRef>
          </c:xVal>
          <c:yVal>
            <c:numRef>
              <c:f>SummaryMatrix!$I$3</c:f>
              <c:numCache>
                <c:formatCode>0.00</c:formatCode>
                <c:ptCount val="1"/>
                <c:pt idx="0">
                  <c:v>0</c:v>
                </c:pt>
              </c:numCache>
            </c:numRef>
          </c:yVal>
          <c:smooth val="0"/>
          <c:extLst>
            <c:ext xmlns:c16="http://schemas.microsoft.com/office/drawing/2014/chart" uri="{C3380CC4-5D6E-409C-BE32-E72D297353CC}">
              <c16:uniqueId val="{00000001-9138-4DD1-944D-79550AA1AF45}"/>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SummaryMatrix!$J$4</c:f>
              <c:numCache>
                <c:formatCode>General</c:formatCode>
                <c:ptCount val="1"/>
                <c:pt idx="0">
                  <c:v>1.5</c:v>
                </c:pt>
              </c:numCache>
            </c:numRef>
          </c:xVal>
          <c:yVal>
            <c:numRef>
              <c:f>SummaryMatrix!$I$4</c:f>
              <c:numCache>
                <c:formatCode>0.00</c:formatCode>
                <c:ptCount val="1"/>
                <c:pt idx="0">
                  <c:v>0</c:v>
                </c:pt>
              </c:numCache>
            </c:numRef>
          </c:yVal>
          <c:smooth val="0"/>
          <c:extLst>
            <c:ext xmlns:c16="http://schemas.microsoft.com/office/drawing/2014/chart" uri="{C3380CC4-5D6E-409C-BE32-E72D297353CC}">
              <c16:uniqueId val="{00000002-9138-4DD1-944D-79550AA1AF45}"/>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SummaryMatrix!$J$5</c:f>
              <c:numCache>
                <c:formatCode>General</c:formatCode>
                <c:ptCount val="1"/>
                <c:pt idx="0">
                  <c:v>1.5</c:v>
                </c:pt>
              </c:numCache>
            </c:numRef>
          </c:xVal>
          <c:yVal>
            <c:numRef>
              <c:f>SummaryMatrix!$I$5</c:f>
              <c:numCache>
                <c:formatCode>0.00</c:formatCode>
                <c:ptCount val="1"/>
                <c:pt idx="0">
                  <c:v>0</c:v>
                </c:pt>
              </c:numCache>
            </c:numRef>
          </c:yVal>
          <c:smooth val="0"/>
          <c:extLst>
            <c:ext xmlns:c16="http://schemas.microsoft.com/office/drawing/2014/chart" uri="{C3380CC4-5D6E-409C-BE32-E72D297353CC}">
              <c16:uniqueId val="{00000003-9138-4DD1-944D-79550AA1AF45}"/>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SummaryMatrix!$J$6</c:f>
              <c:numCache>
                <c:formatCode>General</c:formatCode>
                <c:ptCount val="1"/>
                <c:pt idx="0">
                  <c:v>1.5</c:v>
                </c:pt>
              </c:numCache>
            </c:numRef>
          </c:xVal>
          <c:yVal>
            <c:numRef>
              <c:f>SummaryMatrix!$I$6</c:f>
              <c:numCache>
                <c:formatCode>0.00</c:formatCode>
                <c:ptCount val="1"/>
                <c:pt idx="0">
                  <c:v>0</c:v>
                </c:pt>
              </c:numCache>
            </c:numRef>
          </c:yVal>
          <c:smooth val="0"/>
          <c:extLst>
            <c:ext xmlns:c16="http://schemas.microsoft.com/office/drawing/2014/chart" uri="{C3380CC4-5D6E-409C-BE32-E72D297353CC}">
              <c16:uniqueId val="{00000004-9138-4DD1-944D-79550AA1AF45}"/>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SummaryMatrix!$J$7</c:f>
              <c:numCache>
                <c:formatCode>General</c:formatCode>
                <c:ptCount val="1"/>
                <c:pt idx="0">
                  <c:v>1.5</c:v>
                </c:pt>
              </c:numCache>
            </c:numRef>
          </c:xVal>
          <c:yVal>
            <c:numRef>
              <c:f>SummaryMatrix!$I$7</c:f>
              <c:numCache>
                <c:formatCode>0.00</c:formatCode>
                <c:ptCount val="1"/>
                <c:pt idx="0">
                  <c:v>0</c:v>
                </c:pt>
              </c:numCache>
            </c:numRef>
          </c:yVal>
          <c:smooth val="0"/>
          <c:extLst>
            <c:ext xmlns:c16="http://schemas.microsoft.com/office/drawing/2014/chart" uri="{C3380CC4-5D6E-409C-BE32-E72D297353CC}">
              <c16:uniqueId val="{00000005-9138-4DD1-944D-79550AA1AF45}"/>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SummaryMatrix!$J$8</c:f>
              <c:numCache>
                <c:formatCode>General</c:formatCode>
                <c:ptCount val="1"/>
                <c:pt idx="0">
                  <c:v>0</c:v>
                </c:pt>
              </c:numCache>
            </c:numRef>
          </c:xVal>
          <c:yVal>
            <c:numRef>
              <c:f>SummaryMatrix!$I$8</c:f>
              <c:numCache>
                <c:formatCode>0.00</c:formatCode>
                <c:ptCount val="1"/>
                <c:pt idx="0">
                  <c:v>0</c:v>
                </c:pt>
              </c:numCache>
            </c:numRef>
          </c:yVal>
          <c:smooth val="0"/>
          <c:extLst>
            <c:ext xmlns:c16="http://schemas.microsoft.com/office/drawing/2014/chart" uri="{C3380CC4-5D6E-409C-BE32-E72D297353CC}">
              <c16:uniqueId val="{00000006-9138-4DD1-944D-79550AA1AF45}"/>
            </c:ext>
          </c:extLst>
        </c:ser>
        <c:dLbls>
          <c:dLblPos val="t"/>
          <c:showLegendKey val="0"/>
          <c:showVal val="1"/>
          <c:showCatName val="0"/>
          <c:showSerName val="0"/>
          <c:showPercent val="0"/>
          <c:showBubbleSize val="0"/>
        </c:dLbls>
        <c:axId val="103382400"/>
        <c:axId val="103388288"/>
      </c:scatterChart>
      <c:valAx>
        <c:axId val="103382400"/>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3388288"/>
        <c:crosses val="autoZero"/>
        <c:crossBetween val="midCat"/>
      </c:valAx>
      <c:valAx>
        <c:axId val="103388288"/>
        <c:scaling>
          <c:orientation val="minMax"/>
          <c:max val="5"/>
          <c:min val="0.5"/>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03382400"/>
        <c:crosses val="autoZero"/>
        <c:crossBetween val="midCat"/>
        <c:majorUnit val="0.2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Feasibility</a:t>
            </a:r>
            <a:r>
              <a:rPr lang="x-none" baseline="0"/>
              <a:t> matrix</a:t>
            </a:r>
            <a:endParaRPr lang="x-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SummaryMatrix!$I$2</c:f>
              <c:numCache>
                <c:formatCode>0.00</c:formatCode>
                <c:ptCount val="1"/>
                <c:pt idx="0">
                  <c:v>0</c:v>
                </c:pt>
              </c:numCache>
            </c:numRef>
          </c:xVal>
          <c:yVal>
            <c:numRef>
              <c:f>SummaryMatrix!$J$2</c:f>
              <c:numCache>
                <c:formatCode>General</c:formatCode>
                <c:ptCount val="1"/>
                <c:pt idx="0">
                  <c:v>1.5</c:v>
                </c:pt>
              </c:numCache>
            </c:numRef>
          </c:yVal>
          <c:smooth val="0"/>
          <c:extLst>
            <c:ext xmlns:c16="http://schemas.microsoft.com/office/drawing/2014/chart" uri="{C3380CC4-5D6E-409C-BE32-E72D297353CC}">
              <c16:uniqueId val="{00000000-B5F0-4462-B917-86044125F5C6}"/>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SummaryMatrix!$I$3</c:f>
              <c:numCache>
                <c:formatCode>0.00</c:formatCode>
                <c:ptCount val="1"/>
                <c:pt idx="0">
                  <c:v>0</c:v>
                </c:pt>
              </c:numCache>
            </c:numRef>
          </c:xVal>
          <c:yVal>
            <c:numRef>
              <c:f>SummaryMatrix!$J$3</c:f>
              <c:numCache>
                <c:formatCode>General</c:formatCode>
                <c:ptCount val="1"/>
                <c:pt idx="0">
                  <c:v>1.5</c:v>
                </c:pt>
              </c:numCache>
            </c:numRef>
          </c:yVal>
          <c:smooth val="0"/>
          <c:extLst>
            <c:ext xmlns:c16="http://schemas.microsoft.com/office/drawing/2014/chart" uri="{C3380CC4-5D6E-409C-BE32-E72D297353CC}">
              <c16:uniqueId val="{00000001-B5F0-4462-B917-86044125F5C6}"/>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SummaryMatrix!$I$4</c:f>
              <c:numCache>
                <c:formatCode>0.00</c:formatCode>
                <c:ptCount val="1"/>
                <c:pt idx="0">
                  <c:v>0</c:v>
                </c:pt>
              </c:numCache>
            </c:numRef>
          </c:xVal>
          <c:yVal>
            <c:numRef>
              <c:f>SummaryMatrix!$J$4</c:f>
              <c:numCache>
                <c:formatCode>General</c:formatCode>
                <c:ptCount val="1"/>
                <c:pt idx="0">
                  <c:v>1.5</c:v>
                </c:pt>
              </c:numCache>
            </c:numRef>
          </c:yVal>
          <c:smooth val="0"/>
          <c:extLst>
            <c:ext xmlns:c16="http://schemas.microsoft.com/office/drawing/2014/chart" uri="{C3380CC4-5D6E-409C-BE32-E72D297353CC}">
              <c16:uniqueId val="{00000002-B5F0-4462-B917-86044125F5C6}"/>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SummaryMatrix!$I$5</c:f>
              <c:numCache>
                <c:formatCode>0.00</c:formatCode>
                <c:ptCount val="1"/>
                <c:pt idx="0">
                  <c:v>0</c:v>
                </c:pt>
              </c:numCache>
            </c:numRef>
          </c:xVal>
          <c:yVal>
            <c:numRef>
              <c:f>SummaryMatrix!$J$5</c:f>
              <c:numCache>
                <c:formatCode>General</c:formatCode>
                <c:ptCount val="1"/>
                <c:pt idx="0">
                  <c:v>1.5</c:v>
                </c:pt>
              </c:numCache>
            </c:numRef>
          </c:yVal>
          <c:smooth val="0"/>
          <c:extLst>
            <c:ext xmlns:c16="http://schemas.microsoft.com/office/drawing/2014/chart" uri="{C3380CC4-5D6E-409C-BE32-E72D297353CC}">
              <c16:uniqueId val="{00000003-B5F0-4462-B917-86044125F5C6}"/>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SummaryMatrix!$I$6</c:f>
              <c:numCache>
                <c:formatCode>0.00</c:formatCode>
                <c:ptCount val="1"/>
                <c:pt idx="0">
                  <c:v>0</c:v>
                </c:pt>
              </c:numCache>
            </c:numRef>
          </c:xVal>
          <c:yVal>
            <c:numRef>
              <c:f>SummaryMatrix!$J$6</c:f>
              <c:numCache>
                <c:formatCode>General</c:formatCode>
                <c:ptCount val="1"/>
                <c:pt idx="0">
                  <c:v>1.5</c:v>
                </c:pt>
              </c:numCache>
            </c:numRef>
          </c:yVal>
          <c:smooth val="0"/>
          <c:extLst>
            <c:ext xmlns:c16="http://schemas.microsoft.com/office/drawing/2014/chart" uri="{C3380CC4-5D6E-409C-BE32-E72D297353CC}">
              <c16:uniqueId val="{00000004-B5F0-4462-B917-86044125F5C6}"/>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SummaryMatrix!$I$7</c:f>
              <c:numCache>
                <c:formatCode>0.00</c:formatCode>
                <c:ptCount val="1"/>
                <c:pt idx="0">
                  <c:v>0</c:v>
                </c:pt>
              </c:numCache>
            </c:numRef>
          </c:xVal>
          <c:yVal>
            <c:numRef>
              <c:f>SummaryMatrix!$J$7</c:f>
              <c:numCache>
                <c:formatCode>General</c:formatCode>
                <c:ptCount val="1"/>
                <c:pt idx="0">
                  <c:v>1.5</c:v>
                </c:pt>
              </c:numCache>
            </c:numRef>
          </c:yVal>
          <c:smooth val="0"/>
          <c:extLst>
            <c:ext xmlns:c16="http://schemas.microsoft.com/office/drawing/2014/chart" uri="{C3380CC4-5D6E-409C-BE32-E72D297353CC}">
              <c16:uniqueId val="{00000005-B5F0-4462-B917-86044125F5C6}"/>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SummaryMatrix!$I$8</c:f>
              <c:numCache>
                <c:formatCode>0.00</c:formatCode>
                <c:ptCount val="1"/>
                <c:pt idx="0">
                  <c:v>0</c:v>
                </c:pt>
              </c:numCache>
            </c:numRef>
          </c:xVal>
          <c:yVal>
            <c:numRef>
              <c:f>SummaryMatrix!$J$8</c:f>
              <c:numCache>
                <c:formatCode>General</c:formatCode>
                <c:ptCount val="1"/>
                <c:pt idx="0">
                  <c:v>0</c:v>
                </c:pt>
              </c:numCache>
            </c:numRef>
          </c:yVal>
          <c:smooth val="0"/>
          <c:extLst>
            <c:ext xmlns:c16="http://schemas.microsoft.com/office/drawing/2014/chart" uri="{C3380CC4-5D6E-409C-BE32-E72D297353CC}">
              <c16:uniqueId val="{00000006-B5F0-4462-B917-86044125F5C6}"/>
            </c:ext>
          </c:extLst>
        </c:ser>
        <c:dLbls>
          <c:dLblPos val="t"/>
          <c:showLegendKey val="0"/>
          <c:showVal val="1"/>
          <c:showCatName val="0"/>
          <c:showSerName val="0"/>
          <c:showPercent val="0"/>
          <c:showBubbleSize val="0"/>
        </c:dLbls>
        <c:axId val="103464320"/>
        <c:axId val="103490688"/>
      </c:scatterChart>
      <c:valAx>
        <c:axId val="103464320"/>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3490688"/>
        <c:crosses val="autoZero"/>
        <c:crossBetween val="midCat"/>
      </c:valAx>
      <c:valAx>
        <c:axId val="103490688"/>
        <c:scaling>
          <c:orientation val="minMax"/>
          <c:max val="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346432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SummaryMatrix!$J$2</c:f>
              <c:numCache>
                <c:formatCode>General</c:formatCode>
                <c:ptCount val="1"/>
                <c:pt idx="0">
                  <c:v>1.5</c:v>
                </c:pt>
              </c:numCache>
            </c:numRef>
          </c:xVal>
          <c:yVal>
            <c:numRef>
              <c:f>SummaryMatrix!$I$2</c:f>
              <c:numCache>
                <c:formatCode>0.00</c:formatCode>
                <c:ptCount val="1"/>
                <c:pt idx="0">
                  <c:v>0</c:v>
                </c:pt>
              </c:numCache>
            </c:numRef>
          </c:yVal>
          <c:smooth val="0"/>
          <c:extLst>
            <c:ext xmlns:c16="http://schemas.microsoft.com/office/drawing/2014/chart" uri="{C3380CC4-5D6E-409C-BE32-E72D297353CC}">
              <c16:uniqueId val="{00000000-3755-48E5-AA40-347F06D1F6CE}"/>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1.8109493311223555E-2"/>
                  <c:y val="-4.223010856037361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55-48E5-AA40-347F06D1F6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SummaryMatrix!$J$3</c:f>
              <c:numCache>
                <c:formatCode>General</c:formatCode>
                <c:ptCount val="1"/>
                <c:pt idx="0">
                  <c:v>1.5</c:v>
                </c:pt>
              </c:numCache>
            </c:numRef>
          </c:xVal>
          <c:yVal>
            <c:numRef>
              <c:f>SummaryMatrix!$I$3</c:f>
              <c:numCache>
                <c:formatCode>0.00</c:formatCode>
                <c:ptCount val="1"/>
                <c:pt idx="0">
                  <c:v>0</c:v>
                </c:pt>
              </c:numCache>
            </c:numRef>
          </c:yVal>
          <c:smooth val="0"/>
          <c:extLst>
            <c:ext xmlns:c16="http://schemas.microsoft.com/office/drawing/2014/chart" uri="{C3380CC4-5D6E-409C-BE32-E72D297353CC}">
              <c16:uniqueId val="{00000002-3755-48E5-AA40-347F06D1F6CE}"/>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0"/>
              <c:layout>
                <c:manualLayout>
                  <c:x val="-8.85176192105908E-4"/>
                  <c:y val="2.03677005163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55-48E5-AA40-347F06D1F6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SummaryMatrix!$J$4</c:f>
              <c:numCache>
                <c:formatCode>General</c:formatCode>
                <c:ptCount val="1"/>
                <c:pt idx="0">
                  <c:v>1.5</c:v>
                </c:pt>
              </c:numCache>
            </c:numRef>
          </c:xVal>
          <c:yVal>
            <c:numRef>
              <c:f>SummaryMatrix!$I$4</c:f>
              <c:numCache>
                <c:formatCode>0.00</c:formatCode>
                <c:ptCount val="1"/>
                <c:pt idx="0">
                  <c:v>0</c:v>
                </c:pt>
              </c:numCache>
            </c:numRef>
          </c:yVal>
          <c:smooth val="0"/>
          <c:extLst>
            <c:ext xmlns:c16="http://schemas.microsoft.com/office/drawing/2014/chart" uri="{C3380CC4-5D6E-409C-BE32-E72D297353CC}">
              <c16:uniqueId val="{00000004-3755-48E5-AA40-347F06D1F6CE}"/>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SummaryMatrix!$J$5</c:f>
              <c:numCache>
                <c:formatCode>General</c:formatCode>
                <c:ptCount val="1"/>
                <c:pt idx="0">
                  <c:v>1.5</c:v>
                </c:pt>
              </c:numCache>
            </c:numRef>
          </c:xVal>
          <c:yVal>
            <c:numRef>
              <c:f>SummaryMatrix!$I$5</c:f>
              <c:numCache>
                <c:formatCode>0.00</c:formatCode>
                <c:ptCount val="1"/>
                <c:pt idx="0">
                  <c:v>0</c:v>
                </c:pt>
              </c:numCache>
            </c:numRef>
          </c:yVal>
          <c:smooth val="0"/>
          <c:extLst>
            <c:ext xmlns:c16="http://schemas.microsoft.com/office/drawing/2014/chart" uri="{C3380CC4-5D6E-409C-BE32-E72D297353CC}">
              <c16:uniqueId val="{00000005-3755-48E5-AA40-347F06D1F6CE}"/>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SummaryMatrix!$J$6</c:f>
              <c:numCache>
                <c:formatCode>General</c:formatCode>
                <c:ptCount val="1"/>
                <c:pt idx="0">
                  <c:v>1.5</c:v>
                </c:pt>
              </c:numCache>
            </c:numRef>
          </c:xVal>
          <c:yVal>
            <c:numRef>
              <c:f>SummaryMatrix!$I$6</c:f>
              <c:numCache>
                <c:formatCode>0.00</c:formatCode>
                <c:ptCount val="1"/>
                <c:pt idx="0">
                  <c:v>0</c:v>
                </c:pt>
              </c:numCache>
            </c:numRef>
          </c:yVal>
          <c:smooth val="0"/>
          <c:extLst>
            <c:ext xmlns:c16="http://schemas.microsoft.com/office/drawing/2014/chart" uri="{C3380CC4-5D6E-409C-BE32-E72D297353CC}">
              <c16:uniqueId val="{00000006-3755-48E5-AA40-347F06D1F6CE}"/>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SummaryMatrix!$J$7</c:f>
              <c:numCache>
                <c:formatCode>General</c:formatCode>
                <c:ptCount val="1"/>
                <c:pt idx="0">
                  <c:v>1.5</c:v>
                </c:pt>
              </c:numCache>
            </c:numRef>
          </c:xVal>
          <c:yVal>
            <c:numRef>
              <c:f>SummaryMatrix!$I$7</c:f>
              <c:numCache>
                <c:formatCode>0.00</c:formatCode>
                <c:ptCount val="1"/>
                <c:pt idx="0">
                  <c:v>0</c:v>
                </c:pt>
              </c:numCache>
            </c:numRef>
          </c:yVal>
          <c:smooth val="0"/>
          <c:extLst>
            <c:ext xmlns:c16="http://schemas.microsoft.com/office/drawing/2014/chart" uri="{C3380CC4-5D6E-409C-BE32-E72D297353CC}">
              <c16:uniqueId val="{00000007-3755-48E5-AA40-347F06D1F6CE}"/>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SummaryMatrix!$J$8</c:f>
              <c:numCache>
                <c:formatCode>General</c:formatCode>
                <c:ptCount val="1"/>
                <c:pt idx="0">
                  <c:v>0</c:v>
                </c:pt>
              </c:numCache>
            </c:numRef>
          </c:xVal>
          <c:yVal>
            <c:numRef>
              <c:f>SummaryMatrix!$I$8</c:f>
              <c:numCache>
                <c:formatCode>0.00</c:formatCode>
                <c:ptCount val="1"/>
                <c:pt idx="0">
                  <c:v>0</c:v>
                </c:pt>
              </c:numCache>
            </c:numRef>
          </c:yVal>
          <c:smooth val="0"/>
          <c:extLst>
            <c:ext xmlns:c16="http://schemas.microsoft.com/office/drawing/2014/chart" uri="{C3380CC4-5D6E-409C-BE32-E72D297353CC}">
              <c16:uniqueId val="{00000008-3755-48E5-AA40-347F06D1F6CE}"/>
            </c:ext>
          </c:extLst>
        </c:ser>
        <c:dLbls>
          <c:dLblPos val="t"/>
          <c:showLegendKey val="0"/>
          <c:showVal val="1"/>
          <c:showCatName val="0"/>
          <c:showSerName val="0"/>
          <c:showPercent val="0"/>
          <c:showBubbleSize val="0"/>
        </c:dLbls>
        <c:axId val="107967232"/>
        <c:axId val="107968768"/>
      </c:scatterChart>
      <c:valAx>
        <c:axId val="107967232"/>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7968768"/>
        <c:crosses val="autoZero"/>
        <c:crossBetween val="midCat"/>
      </c:valAx>
      <c:valAx>
        <c:axId val="107968768"/>
        <c:scaling>
          <c:orientation val="minMax"/>
          <c:max val="5"/>
          <c:min val="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crossAx val="107967232"/>
        <c:crosses val="autoZero"/>
        <c:crossBetween val="midCat"/>
        <c:majorUnit val="0.2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SummaryMatrix!$J$2</c:f>
              <c:numCache>
                <c:formatCode>General</c:formatCode>
                <c:ptCount val="1"/>
                <c:pt idx="0">
                  <c:v>1.5</c:v>
                </c:pt>
              </c:numCache>
            </c:numRef>
          </c:xVal>
          <c:yVal>
            <c:numRef>
              <c:f>SummaryMatrix!$I$2</c:f>
              <c:numCache>
                <c:formatCode>0.00</c:formatCode>
                <c:ptCount val="1"/>
                <c:pt idx="0">
                  <c:v>0</c:v>
                </c:pt>
              </c:numCache>
            </c:numRef>
          </c:yVal>
          <c:smooth val="0"/>
          <c:extLst>
            <c:ext xmlns:c16="http://schemas.microsoft.com/office/drawing/2014/chart" uri="{C3380CC4-5D6E-409C-BE32-E72D297353CC}">
              <c16:uniqueId val="{00000000-C55A-4B4F-90ED-66AB3502C4E4}"/>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1.8109493311223555E-2"/>
                  <c:y val="-4.223010856037361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55A-4B4F-90ED-66AB3502C4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SummaryMatrix!$J$3</c:f>
              <c:numCache>
                <c:formatCode>General</c:formatCode>
                <c:ptCount val="1"/>
                <c:pt idx="0">
                  <c:v>1.5</c:v>
                </c:pt>
              </c:numCache>
            </c:numRef>
          </c:xVal>
          <c:yVal>
            <c:numRef>
              <c:f>SummaryMatrix!$I$3</c:f>
              <c:numCache>
                <c:formatCode>0.00</c:formatCode>
                <c:ptCount val="1"/>
                <c:pt idx="0">
                  <c:v>0</c:v>
                </c:pt>
              </c:numCache>
            </c:numRef>
          </c:yVal>
          <c:smooth val="0"/>
          <c:extLst>
            <c:ext xmlns:c16="http://schemas.microsoft.com/office/drawing/2014/chart" uri="{C3380CC4-5D6E-409C-BE32-E72D297353CC}">
              <c16:uniqueId val="{00000002-C55A-4B4F-90ED-66AB3502C4E4}"/>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0"/>
              <c:layout>
                <c:manualLayout>
                  <c:x val="-8.85176192105908E-4"/>
                  <c:y val="2.03677005163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5A-4B4F-90ED-66AB3502C4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SummaryMatrix!$J$4</c:f>
              <c:numCache>
                <c:formatCode>General</c:formatCode>
                <c:ptCount val="1"/>
                <c:pt idx="0">
                  <c:v>1.5</c:v>
                </c:pt>
              </c:numCache>
            </c:numRef>
          </c:xVal>
          <c:yVal>
            <c:numRef>
              <c:f>SummaryMatrix!$I$4</c:f>
              <c:numCache>
                <c:formatCode>0.00</c:formatCode>
                <c:ptCount val="1"/>
                <c:pt idx="0">
                  <c:v>0</c:v>
                </c:pt>
              </c:numCache>
            </c:numRef>
          </c:yVal>
          <c:smooth val="0"/>
          <c:extLst>
            <c:ext xmlns:c16="http://schemas.microsoft.com/office/drawing/2014/chart" uri="{C3380CC4-5D6E-409C-BE32-E72D297353CC}">
              <c16:uniqueId val="{00000004-C55A-4B4F-90ED-66AB3502C4E4}"/>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SummaryMatrix!$J$5</c:f>
              <c:numCache>
                <c:formatCode>General</c:formatCode>
                <c:ptCount val="1"/>
                <c:pt idx="0">
                  <c:v>1.5</c:v>
                </c:pt>
              </c:numCache>
            </c:numRef>
          </c:xVal>
          <c:yVal>
            <c:numRef>
              <c:f>SummaryMatrix!$I$5</c:f>
              <c:numCache>
                <c:formatCode>0.00</c:formatCode>
                <c:ptCount val="1"/>
                <c:pt idx="0">
                  <c:v>0</c:v>
                </c:pt>
              </c:numCache>
            </c:numRef>
          </c:yVal>
          <c:smooth val="0"/>
          <c:extLst>
            <c:ext xmlns:c16="http://schemas.microsoft.com/office/drawing/2014/chart" uri="{C3380CC4-5D6E-409C-BE32-E72D297353CC}">
              <c16:uniqueId val="{00000005-C55A-4B4F-90ED-66AB3502C4E4}"/>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SummaryMatrix!$J$6</c:f>
              <c:numCache>
                <c:formatCode>General</c:formatCode>
                <c:ptCount val="1"/>
                <c:pt idx="0">
                  <c:v>1.5</c:v>
                </c:pt>
              </c:numCache>
            </c:numRef>
          </c:xVal>
          <c:yVal>
            <c:numRef>
              <c:f>SummaryMatrix!$I$6</c:f>
              <c:numCache>
                <c:formatCode>0.00</c:formatCode>
                <c:ptCount val="1"/>
                <c:pt idx="0">
                  <c:v>0</c:v>
                </c:pt>
              </c:numCache>
            </c:numRef>
          </c:yVal>
          <c:smooth val="0"/>
          <c:extLst>
            <c:ext xmlns:c16="http://schemas.microsoft.com/office/drawing/2014/chart" uri="{C3380CC4-5D6E-409C-BE32-E72D297353CC}">
              <c16:uniqueId val="{00000006-C55A-4B4F-90ED-66AB3502C4E4}"/>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SummaryMatrix!$J$7</c:f>
              <c:numCache>
                <c:formatCode>General</c:formatCode>
                <c:ptCount val="1"/>
                <c:pt idx="0">
                  <c:v>1.5</c:v>
                </c:pt>
              </c:numCache>
            </c:numRef>
          </c:xVal>
          <c:yVal>
            <c:numRef>
              <c:f>SummaryMatrix!$I$7</c:f>
              <c:numCache>
                <c:formatCode>0.00</c:formatCode>
                <c:ptCount val="1"/>
                <c:pt idx="0">
                  <c:v>0</c:v>
                </c:pt>
              </c:numCache>
            </c:numRef>
          </c:yVal>
          <c:smooth val="0"/>
          <c:extLst>
            <c:ext xmlns:c16="http://schemas.microsoft.com/office/drawing/2014/chart" uri="{C3380CC4-5D6E-409C-BE32-E72D297353CC}">
              <c16:uniqueId val="{00000007-C55A-4B4F-90ED-66AB3502C4E4}"/>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SummaryMatrix!$J$8</c:f>
              <c:numCache>
                <c:formatCode>General</c:formatCode>
                <c:ptCount val="1"/>
                <c:pt idx="0">
                  <c:v>0</c:v>
                </c:pt>
              </c:numCache>
            </c:numRef>
          </c:xVal>
          <c:yVal>
            <c:numRef>
              <c:f>SummaryMatrix!$I$8</c:f>
              <c:numCache>
                <c:formatCode>0.00</c:formatCode>
                <c:ptCount val="1"/>
                <c:pt idx="0">
                  <c:v>0</c:v>
                </c:pt>
              </c:numCache>
            </c:numRef>
          </c:yVal>
          <c:smooth val="0"/>
          <c:extLst>
            <c:ext xmlns:c16="http://schemas.microsoft.com/office/drawing/2014/chart" uri="{C3380CC4-5D6E-409C-BE32-E72D297353CC}">
              <c16:uniqueId val="{00000008-C55A-4B4F-90ED-66AB3502C4E4}"/>
            </c:ext>
          </c:extLst>
        </c:ser>
        <c:dLbls>
          <c:dLblPos val="t"/>
          <c:showLegendKey val="0"/>
          <c:showVal val="1"/>
          <c:showCatName val="0"/>
          <c:showSerName val="0"/>
          <c:showPercent val="0"/>
          <c:showBubbleSize val="0"/>
        </c:dLbls>
        <c:axId val="108316160"/>
        <c:axId val="108317696"/>
      </c:scatterChart>
      <c:valAx>
        <c:axId val="108316160"/>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317696"/>
        <c:crosses val="autoZero"/>
        <c:crossBetween val="midCat"/>
      </c:valAx>
      <c:valAx>
        <c:axId val="108317696"/>
        <c:scaling>
          <c:orientation val="minMax"/>
          <c:max val="5"/>
          <c:min val="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crossAx val="108316160"/>
        <c:crosses val="autoZero"/>
        <c:crossBetween val="midCat"/>
        <c:majorUnit val="0.2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x-none"/>
              <a:t>External</a:t>
            </a:r>
          </a:p>
        </c:rich>
      </c:tx>
      <c:layout>
        <c:manualLayout>
          <c:xMode val="edge"/>
          <c:yMode val="edge"/>
          <c:x val="1.3368003578590507E-2"/>
          <c:y val="2.4684100739637591E-2"/>
        </c:manualLayout>
      </c:layout>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SummaryMatrix!$A$15</c:f>
              <c:strCache>
                <c:ptCount val="1"/>
                <c:pt idx="0">
                  <c:v>Op.Crit5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SummaryMatrix!$C$15</c:f>
              <c:numCache>
                <c:formatCode>General</c:formatCode>
                <c:ptCount val="1"/>
                <c:pt idx="0">
                  <c:v>2</c:v>
                </c:pt>
              </c:numCache>
            </c:numRef>
          </c:xVal>
          <c:yVal>
            <c:numRef>
              <c:f>SummaryMatrix!$D$15</c:f>
              <c:numCache>
                <c:formatCode>General</c:formatCode>
                <c:ptCount val="1"/>
                <c:pt idx="0">
                  <c:v>4</c:v>
                </c:pt>
              </c:numCache>
            </c:numRef>
          </c:yVal>
          <c:smooth val="0"/>
          <c:extLst>
            <c:ext xmlns:c16="http://schemas.microsoft.com/office/drawing/2014/chart" uri="{C3380CC4-5D6E-409C-BE32-E72D297353CC}">
              <c16:uniqueId val="{00000000-7B7A-4FD9-8BC4-AA95AF2849A5}"/>
            </c:ext>
          </c:extLst>
        </c:ser>
        <c:ser>
          <c:idx val="1"/>
          <c:order val="1"/>
          <c:tx>
            <c:strRef>
              <c:f>SummaryMatrix!$A$16</c:f>
              <c:strCache>
                <c:ptCount val="1"/>
                <c:pt idx="0">
                  <c:v>Op.Crit6</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SummaryMatrix!$C$16</c:f>
              <c:numCache>
                <c:formatCode>General</c:formatCode>
                <c:ptCount val="1"/>
                <c:pt idx="0">
                  <c:v>2</c:v>
                </c:pt>
              </c:numCache>
            </c:numRef>
          </c:xVal>
          <c:yVal>
            <c:numRef>
              <c:f>SummaryMatrix!$D$16</c:f>
              <c:numCache>
                <c:formatCode>General</c:formatCode>
                <c:ptCount val="1"/>
                <c:pt idx="0">
                  <c:v>3.8</c:v>
                </c:pt>
              </c:numCache>
            </c:numRef>
          </c:yVal>
          <c:smooth val="0"/>
          <c:extLst>
            <c:ext xmlns:c16="http://schemas.microsoft.com/office/drawing/2014/chart" uri="{C3380CC4-5D6E-409C-BE32-E72D297353CC}">
              <c16:uniqueId val="{00000001-7B7A-4FD9-8BC4-AA95AF2849A5}"/>
            </c:ext>
          </c:extLst>
        </c:ser>
        <c:ser>
          <c:idx val="2"/>
          <c:order val="2"/>
          <c:tx>
            <c:strRef>
              <c:f>SummaryMatrix!$A$17</c:f>
              <c:strCache>
                <c:ptCount val="1"/>
                <c:pt idx="0">
                  <c:v>Econo.Cri9</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SummaryMatrix!$C$17</c:f>
              <c:numCache>
                <c:formatCode>General</c:formatCode>
                <c:ptCount val="1"/>
                <c:pt idx="0">
                  <c:v>1</c:v>
                </c:pt>
              </c:numCache>
            </c:numRef>
          </c:xVal>
          <c:yVal>
            <c:numRef>
              <c:f>SummaryMatrix!$D$17</c:f>
              <c:numCache>
                <c:formatCode>General</c:formatCode>
                <c:ptCount val="1"/>
                <c:pt idx="0">
                  <c:v>4.9000000000000004</c:v>
                </c:pt>
              </c:numCache>
            </c:numRef>
          </c:yVal>
          <c:smooth val="0"/>
          <c:extLst>
            <c:ext xmlns:c16="http://schemas.microsoft.com/office/drawing/2014/chart" uri="{C3380CC4-5D6E-409C-BE32-E72D297353CC}">
              <c16:uniqueId val="{00000002-7B7A-4FD9-8BC4-AA95AF2849A5}"/>
            </c:ext>
          </c:extLst>
        </c:ser>
        <c:ser>
          <c:idx val="3"/>
          <c:order val="3"/>
          <c:tx>
            <c:strRef>
              <c:f>SummaryMatrix!$A$18</c:f>
              <c:strCache>
                <c:ptCount val="1"/>
                <c:pt idx="0">
                  <c:v>Tech.Cri3</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SummaryMatrix!$C$18</c:f>
              <c:numCache>
                <c:formatCode>General</c:formatCode>
                <c:ptCount val="1"/>
                <c:pt idx="0">
                  <c:v>1</c:v>
                </c:pt>
              </c:numCache>
            </c:numRef>
          </c:xVal>
          <c:yVal>
            <c:numRef>
              <c:f>SummaryMatrix!$D$18</c:f>
              <c:numCache>
                <c:formatCode>General</c:formatCode>
                <c:ptCount val="1"/>
                <c:pt idx="0">
                  <c:v>4.7</c:v>
                </c:pt>
              </c:numCache>
            </c:numRef>
          </c:yVal>
          <c:smooth val="0"/>
          <c:extLst>
            <c:ext xmlns:c16="http://schemas.microsoft.com/office/drawing/2014/chart" uri="{C3380CC4-5D6E-409C-BE32-E72D297353CC}">
              <c16:uniqueId val="{00000003-7B7A-4FD9-8BC4-AA95AF2849A5}"/>
            </c:ext>
          </c:extLst>
        </c:ser>
        <c:ser>
          <c:idx val="4"/>
          <c:order val="4"/>
          <c:tx>
            <c:strRef>
              <c:f>SummaryMatrix!$A$19</c:f>
              <c:strCache>
                <c:ptCount val="1"/>
                <c:pt idx="0">
                  <c:v>Econo.Cri8</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SummaryMatrix!$C$19</c:f>
              <c:numCache>
                <c:formatCode>General</c:formatCode>
                <c:ptCount val="1"/>
                <c:pt idx="0">
                  <c:v>1</c:v>
                </c:pt>
              </c:numCache>
            </c:numRef>
          </c:xVal>
          <c:yVal>
            <c:numRef>
              <c:f>SummaryMatrix!$D$19</c:f>
              <c:numCache>
                <c:formatCode>General</c:formatCode>
                <c:ptCount val="1"/>
                <c:pt idx="0">
                  <c:v>3</c:v>
                </c:pt>
              </c:numCache>
            </c:numRef>
          </c:yVal>
          <c:smooth val="0"/>
          <c:extLst>
            <c:ext xmlns:c16="http://schemas.microsoft.com/office/drawing/2014/chart" uri="{C3380CC4-5D6E-409C-BE32-E72D297353CC}">
              <c16:uniqueId val="{0000001B-7B7A-4FD9-8BC4-AA95AF2849A5}"/>
            </c:ext>
          </c:extLst>
        </c:ser>
        <c:ser>
          <c:idx val="5"/>
          <c:order val="5"/>
          <c:tx>
            <c:strRef>
              <c:f>SummaryMatrix!$A$20</c:f>
              <c:strCache>
                <c:ptCount val="1"/>
                <c:pt idx="0">
                  <c:v>Tech.Cri1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SummaryMatrix!$C$20</c:f>
              <c:numCache>
                <c:formatCode>General</c:formatCode>
                <c:ptCount val="1"/>
                <c:pt idx="0">
                  <c:v>0.5</c:v>
                </c:pt>
              </c:numCache>
            </c:numRef>
          </c:xVal>
          <c:yVal>
            <c:numRef>
              <c:f>SummaryMatrix!$D$20</c:f>
              <c:numCache>
                <c:formatCode>General</c:formatCode>
                <c:ptCount val="1"/>
                <c:pt idx="0">
                  <c:v>4.3</c:v>
                </c:pt>
              </c:numCache>
            </c:numRef>
          </c:yVal>
          <c:smooth val="0"/>
          <c:extLst>
            <c:ext xmlns:c16="http://schemas.microsoft.com/office/drawing/2014/chart" uri="{C3380CC4-5D6E-409C-BE32-E72D297353CC}">
              <c16:uniqueId val="{0000001C-7B7A-4FD9-8BC4-AA95AF2849A5}"/>
            </c:ext>
          </c:extLst>
        </c:ser>
        <c:ser>
          <c:idx val="6"/>
          <c:order val="6"/>
          <c:tx>
            <c:strRef>
              <c:f>SummaryMatrix!$A$21</c:f>
              <c:strCache>
                <c:ptCount val="1"/>
                <c:pt idx="0">
                  <c:v>Op.Crit7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SummaryMatrix!$C$21</c:f>
              <c:numCache>
                <c:formatCode>General</c:formatCode>
                <c:ptCount val="1"/>
                <c:pt idx="0">
                  <c:v>1</c:v>
                </c:pt>
              </c:numCache>
            </c:numRef>
          </c:xVal>
          <c:yVal>
            <c:numRef>
              <c:f>SummaryMatrix!$D$21</c:f>
              <c:numCache>
                <c:formatCode>General</c:formatCode>
                <c:ptCount val="1"/>
                <c:pt idx="0">
                  <c:v>2.9</c:v>
                </c:pt>
              </c:numCache>
            </c:numRef>
          </c:yVal>
          <c:smooth val="0"/>
          <c:extLst>
            <c:ext xmlns:c16="http://schemas.microsoft.com/office/drawing/2014/chart" uri="{C3380CC4-5D6E-409C-BE32-E72D297353CC}">
              <c16:uniqueId val="{0000001D-7B7A-4FD9-8BC4-AA95AF2849A5}"/>
            </c:ext>
          </c:extLst>
        </c:ser>
        <c:ser>
          <c:idx val="7"/>
          <c:order val="7"/>
          <c:tx>
            <c:strRef>
              <c:f>SummaryMatrix!$A$22</c:f>
              <c:strCache>
                <c:ptCount val="1"/>
                <c:pt idx="0">
                  <c:v>Op.Crit8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SummaryMatrix!$C$22</c:f>
              <c:numCache>
                <c:formatCode>General</c:formatCode>
                <c:ptCount val="1"/>
                <c:pt idx="0">
                  <c:v>3</c:v>
                </c:pt>
              </c:numCache>
            </c:numRef>
          </c:xVal>
          <c:yVal>
            <c:numRef>
              <c:f>SummaryMatrix!$D$22</c:f>
              <c:numCache>
                <c:formatCode>General</c:formatCode>
                <c:ptCount val="1"/>
                <c:pt idx="0">
                  <c:v>1.9</c:v>
                </c:pt>
              </c:numCache>
            </c:numRef>
          </c:yVal>
          <c:smooth val="0"/>
          <c:extLst>
            <c:ext xmlns:c16="http://schemas.microsoft.com/office/drawing/2014/chart" uri="{C3380CC4-5D6E-409C-BE32-E72D297353CC}">
              <c16:uniqueId val="{0000001E-7B7A-4FD9-8BC4-AA95AF2849A5}"/>
            </c:ext>
          </c:extLst>
        </c:ser>
        <c:ser>
          <c:idx val="8"/>
          <c:order val="8"/>
          <c:tx>
            <c:strRef>
              <c:f>SummaryMatrix!$A$23</c:f>
              <c:strCache>
                <c:ptCount val="1"/>
                <c:pt idx="0">
                  <c:v>Tech.Cri2</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SummaryMatrix!$C$23</c:f>
              <c:numCache>
                <c:formatCode>General</c:formatCode>
                <c:ptCount val="1"/>
                <c:pt idx="0">
                  <c:v>1.5</c:v>
                </c:pt>
              </c:numCache>
            </c:numRef>
          </c:xVal>
          <c:yVal>
            <c:numRef>
              <c:f>SummaryMatrix!$D$23</c:f>
              <c:numCache>
                <c:formatCode>General</c:formatCode>
                <c:ptCount val="1"/>
                <c:pt idx="0">
                  <c:v>1.7</c:v>
                </c:pt>
              </c:numCache>
            </c:numRef>
          </c:yVal>
          <c:smooth val="0"/>
          <c:extLst>
            <c:ext xmlns:c16="http://schemas.microsoft.com/office/drawing/2014/chart" uri="{C3380CC4-5D6E-409C-BE32-E72D297353CC}">
              <c16:uniqueId val="{0000001F-7B7A-4FD9-8BC4-AA95AF2849A5}"/>
            </c:ext>
          </c:extLst>
        </c:ser>
        <c:dLbls>
          <c:showLegendKey val="0"/>
          <c:showVal val="0"/>
          <c:showCatName val="0"/>
          <c:showSerName val="0"/>
          <c:showPercent val="0"/>
          <c:showBubbleSize val="0"/>
        </c:dLbls>
        <c:axId val="108073728"/>
        <c:axId val="108075648"/>
      </c:scatterChart>
      <c:valAx>
        <c:axId val="108073728"/>
        <c:scaling>
          <c:orientation val="minMax"/>
          <c:max val="3.25"/>
        </c:scaling>
        <c:delete val="1"/>
        <c:axPos val="b"/>
        <c:majorGridlines>
          <c:spPr>
            <a:ln w="9525" cap="flat" cmpd="sng" algn="ctr">
              <a:gradFill flip="none" rotWithShape="1">
                <a:gsLst>
                  <a:gs pos="6452">
                    <a:schemeClr val="accent4">
                      <a:lumMod val="40000"/>
                      <a:lumOff val="60000"/>
                    </a:schemeClr>
                  </a:gs>
                  <a:gs pos="58000">
                    <a:schemeClr val="accent1">
                      <a:lumMod val="45000"/>
                      <a:lumOff val="55000"/>
                    </a:schemeClr>
                  </a:gs>
                  <a:gs pos="100000">
                    <a:schemeClr val="accent6">
                      <a:lumMod val="75000"/>
                    </a:schemeClr>
                  </a:gs>
                </a:gsLst>
                <a:path path="circle">
                  <a:fillToRect l="100000" t="100000"/>
                </a:path>
                <a:tileRect r="-100000" b="-100000"/>
              </a:gra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out"/>
        <c:minorTickMark val="none"/>
        <c:tickLblPos val="nextTo"/>
        <c:crossAx val="108075648"/>
        <c:crosses val="autoZero"/>
        <c:crossBetween val="midCat"/>
        <c:majorUnit val="0.25"/>
      </c:valAx>
      <c:valAx>
        <c:axId val="108075648"/>
        <c:scaling>
          <c:orientation val="minMax"/>
          <c:max val="5.2"/>
          <c:min val="3"/>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a:t>Oportunities</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8073728"/>
        <c:crosses val="autoZero"/>
        <c:crossBetween val="midCat"/>
        <c:majorUnit val="0.25"/>
      </c:valAx>
      <c:spPr>
        <a:gradFill flip="none" rotWithShape="1">
          <a:gsLst>
            <a:gs pos="100000">
              <a:schemeClr val="accent4">
                <a:lumMod val="40000"/>
                <a:lumOff val="60000"/>
              </a:schemeClr>
            </a:gs>
            <a:gs pos="49000">
              <a:schemeClr val="accent1">
                <a:lumMod val="45000"/>
                <a:lumOff val="55000"/>
              </a:schemeClr>
            </a:gs>
            <a:gs pos="0">
              <a:schemeClr val="accent6">
                <a:lumMod val="75000"/>
              </a:schemeClr>
            </a:gs>
          </a:gsLst>
          <a:lin ang="10800000" scaled="0"/>
          <a:tileRect/>
        </a:gradFill>
        <a:ln>
          <a:noFill/>
        </a:ln>
        <a:effectLst/>
      </c:spPr>
    </c:plotArea>
    <c:legend>
      <c:legendPos val="l"/>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Internal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6.0258613928026269E-2"/>
          <c:y val="0.20771875933347314"/>
          <c:w val="0.68196062992125983"/>
          <c:h val="0.71046988918051912"/>
        </c:manualLayout>
      </c:layout>
      <c:scatterChart>
        <c:scatterStyle val="lineMarker"/>
        <c:varyColors val="0"/>
        <c:ser>
          <c:idx val="0"/>
          <c:order val="0"/>
          <c:tx>
            <c:strRef>
              <c:f>SummaryMatrix!$A$15</c:f>
              <c:strCache>
                <c:ptCount val="1"/>
                <c:pt idx="0">
                  <c:v>Op.Crit5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SummaryMatrix!$C$15</c:f>
              <c:numCache>
                <c:formatCode>General</c:formatCode>
                <c:ptCount val="1"/>
                <c:pt idx="0">
                  <c:v>2</c:v>
                </c:pt>
              </c:numCache>
            </c:numRef>
          </c:xVal>
          <c:yVal>
            <c:numRef>
              <c:f>SummaryMatrix!$D$15</c:f>
              <c:numCache>
                <c:formatCode>General</c:formatCode>
                <c:ptCount val="1"/>
                <c:pt idx="0">
                  <c:v>4</c:v>
                </c:pt>
              </c:numCache>
            </c:numRef>
          </c:yVal>
          <c:smooth val="0"/>
          <c:extLst>
            <c:ext xmlns:c16="http://schemas.microsoft.com/office/drawing/2014/chart" uri="{C3380CC4-5D6E-409C-BE32-E72D297353CC}">
              <c16:uniqueId val="{00000000-3F76-4806-AC6A-9AE65CBCEB49}"/>
            </c:ext>
          </c:extLst>
        </c:ser>
        <c:ser>
          <c:idx val="1"/>
          <c:order val="1"/>
          <c:tx>
            <c:strRef>
              <c:f>SummaryMatrix!$A$16</c:f>
              <c:strCache>
                <c:ptCount val="1"/>
                <c:pt idx="0">
                  <c:v>Op.Crit6</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SummaryMatrix!$C$16</c:f>
              <c:numCache>
                <c:formatCode>General</c:formatCode>
                <c:ptCount val="1"/>
                <c:pt idx="0">
                  <c:v>2</c:v>
                </c:pt>
              </c:numCache>
            </c:numRef>
          </c:xVal>
          <c:yVal>
            <c:numRef>
              <c:f>SummaryMatrix!$D$16</c:f>
              <c:numCache>
                <c:formatCode>General</c:formatCode>
                <c:ptCount val="1"/>
                <c:pt idx="0">
                  <c:v>3.8</c:v>
                </c:pt>
              </c:numCache>
            </c:numRef>
          </c:yVal>
          <c:smooth val="0"/>
          <c:extLst>
            <c:ext xmlns:c16="http://schemas.microsoft.com/office/drawing/2014/chart" uri="{C3380CC4-5D6E-409C-BE32-E72D297353CC}">
              <c16:uniqueId val="{00000001-3F76-4806-AC6A-9AE65CBCEB49}"/>
            </c:ext>
          </c:extLst>
        </c:ser>
        <c:ser>
          <c:idx val="2"/>
          <c:order val="2"/>
          <c:tx>
            <c:strRef>
              <c:f>SummaryMatrix!$A$17</c:f>
              <c:strCache>
                <c:ptCount val="1"/>
                <c:pt idx="0">
                  <c:v>Econo.Cri9</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SummaryMatrix!$C$17</c:f>
              <c:numCache>
                <c:formatCode>General</c:formatCode>
                <c:ptCount val="1"/>
                <c:pt idx="0">
                  <c:v>1</c:v>
                </c:pt>
              </c:numCache>
            </c:numRef>
          </c:xVal>
          <c:yVal>
            <c:numRef>
              <c:f>SummaryMatrix!$D$17</c:f>
              <c:numCache>
                <c:formatCode>General</c:formatCode>
                <c:ptCount val="1"/>
                <c:pt idx="0">
                  <c:v>4.9000000000000004</c:v>
                </c:pt>
              </c:numCache>
            </c:numRef>
          </c:yVal>
          <c:smooth val="0"/>
          <c:extLst>
            <c:ext xmlns:c16="http://schemas.microsoft.com/office/drawing/2014/chart" uri="{C3380CC4-5D6E-409C-BE32-E72D297353CC}">
              <c16:uniqueId val="{00000002-3F76-4806-AC6A-9AE65CBCEB49}"/>
            </c:ext>
          </c:extLst>
        </c:ser>
        <c:ser>
          <c:idx val="3"/>
          <c:order val="3"/>
          <c:tx>
            <c:strRef>
              <c:f>SummaryMatrix!$A$18</c:f>
              <c:strCache>
                <c:ptCount val="1"/>
                <c:pt idx="0">
                  <c:v>Tech.Cri3</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SummaryMatrix!$C$18</c:f>
              <c:numCache>
                <c:formatCode>General</c:formatCode>
                <c:ptCount val="1"/>
                <c:pt idx="0">
                  <c:v>1</c:v>
                </c:pt>
              </c:numCache>
            </c:numRef>
          </c:xVal>
          <c:yVal>
            <c:numRef>
              <c:f>SummaryMatrix!$D$18</c:f>
              <c:numCache>
                <c:formatCode>General</c:formatCode>
                <c:ptCount val="1"/>
                <c:pt idx="0">
                  <c:v>4.7</c:v>
                </c:pt>
              </c:numCache>
            </c:numRef>
          </c:yVal>
          <c:smooth val="0"/>
          <c:extLst>
            <c:ext xmlns:c16="http://schemas.microsoft.com/office/drawing/2014/chart" uri="{C3380CC4-5D6E-409C-BE32-E72D297353CC}">
              <c16:uniqueId val="{00000003-3F76-4806-AC6A-9AE65CBCEB49}"/>
            </c:ext>
          </c:extLst>
        </c:ser>
        <c:ser>
          <c:idx val="4"/>
          <c:order val="4"/>
          <c:tx>
            <c:strRef>
              <c:f>SummaryMatrix!$A$19</c:f>
              <c:strCache>
                <c:ptCount val="1"/>
                <c:pt idx="0">
                  <c:v>Econo.Cri8</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SummaryMatrix!$C$19</c:f>
              <c:numCache>
                <c:formatCode>General</c:formatCode>
                <c:ptCount val="1"/>
                <c:pt idx="0">
                  <c:v>1</c:v>
                </c:pt>
              </c:numCache>
            </c:numRef>
          </c:xVal>
          <c:yVal>
            <c:numRef>
              <c:f>SummaryMatrix!$D$19</c:f>
              <c:numCache>
                <c:formatCode>General</c:formatCode>
                <c:ptCount val="1"/>
                <c:pt idx="0">
                  <c:v>3</c:v>
                </c:pt>
              </c:numCache>
            </c:numRef>
          </c:yVal>
          <c:smooth val="0"/>
          <c:extLst>
            <c:ext xmlns:c16="http://schemas.microsoft.com/office/drawing/2014/chart" uri="{C3380CC4-5D6E-409C-BE32-E72D297353CC}">
              <c16:uniqueId val="{00000004-3F76-4806-AC6A-9AE65CBCEB49}"/>
            </c:ext>
          </c:extLst>
        </c:ser>
        <c:ser>
          <c:idx val="5"/>
          <c:order val="5"/>
          <c:tx>
            <c:strRef>
              <c:f>SummaryMatrix!$A$20</c:f>
              <c:strCache>
                <c:ptCount val="1"/>
                <c:pt idx="0">
                  <c:v>Tech.Cri1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SummaryMatrix!$C$20</c:f>
              <c:numCache>
                <c:formatCode>General</c:formatCode>
                <c:ptCount val="1"/>
                <c:pt idx="0">
                  <c:v>0.5</c:v>
                </c:pt>
              </c:numCache>
            </c:numRef>
          </c:xVal>
          <c:yVal>
            <c:numRef>
              <c:f>SummaryMatrix!$D$20</c:f>
              <c:numCache>
                <c:formatCode>General</c:formatCode>
                <c:ptCount val="1"/>
                <c:pt idx="0">
                  <c:v>4.3</c:v>
                </c:pt>
              </c:numCache>
            </c:numRef>
          </c:yVal>
          <c:smooth val="0"/>
          <c:extLst>
            <c:ext xmlns:c16="http://schemas.microsoft.com/office/drawing/2014/chart" uri="{C3380CC4-5D6E-409C-BE32-E72D297353CC}">
              <c16:uniqueId val="{00000005-3F76-4806-AC6A-9AE65CBCEB49}"/>
            </c:ext>
          </c:extLst>
        </c:ser>
        <c:ser>
          <c:idx val="6"/>
          <c:order val="6"/>
          <c:tx>
            <c:strRef>
              <c:f>SummaryMatrix!$A$21</c:f>
              <c:strCache>
                <c:ptCount val="1"/>
                <c:pt idx="0">
                  <c:v>Op.Crit7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SummaryMatrix!$C$21</c:f>
              <c:numCache>
                <c:formatCode>General</c:formatCode>
                <c:ptCount val="1"/>
                <c:pt idx="0">
                  <c:v>1</c:v>
                </c:pt>
              </c:numCache>
            </c:numRef>
          </c:xVal>
          <c:yVal>
            <c:numRef>
              <c:f>SummaryMatrix!$D$21</c:f>
              <c:numCache>
                <c:formatCode>General</c:formatCode>
                <c:ptCount val="1"/>
                <c:pt idx="0">
                  <c:v>2.9</c:v>
                </c:pt>
              </c:numCache>
            </c:numRef>
          </c:yVal>
          <c:smooth val="0"/>
          <c:extLst>
            <c:ext xmlns:c16="http://schemas.microsoft.com/office/drawing/2014/chart" uri="{C3380CC4-5D6E-409C-BE32-E72D297353CC}">
              <c16:uniqueId val="{00000006-3F76-4806-AC6A-9AE65CBCEB49}"/>
            </c:ext>
          </c:extLst>
        </c:ser>
        <c:ser>
          <c:idx val="7"/>
          <c:order val="7"/>
          <c:tx>
            <c:strRef>
              <c:f>SummaryMatrix!$A$22</c:f>
              <c:strCache>
                <c:ptCount val="1"/>
                <c:pt idx="0">
                  <c:v>Op.Crit8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SummaryMatrix!$C$22</c:f>
              <c:numCache>
                <c:formatCode>General</c:formatCode>
                <c:ptCount val="1"/>
                <c:pt idx="0">
                  <c:v>3</c:v>
                </c:pt>
              </c:numCache>
            </c:numRef>
          </c:xVal>
          <c:yVal>
            <c:numRef>
              <c:f>SummaryMatrix!$D$22</c:f>
              <c:numCache>
                <c:formatCode>General</c:formatCode>
                <c:ptCount val="1"/>
                <c:pt idx="0">
                  <c:v>1.9</c:v>
                </c:pt>
              </c:numCache>
            </c:numRef>
          </c:yVal>
          <c:smooth val="0"/>
          <c:extLst>
            <c:ext xmlns:c16="http://schemas.microsoft.com/office/drawing/2014/chart" uri="{C3380CC4-5D6E-409C-BE32-E72D297353CC}">
              <c16:uniqueId val="{00000007-3F76-4806-AC6A-9AE65CBCEB49}"/>
            </c:ext>
          </c:extLst>
        </c:ser>
        <c:ser>
          <c:idx val="8"/>
          <c:order val="8"/>
          <c:tx>
            <c:strRef>
              <c:f>SummaryMatrix!$A$23</c:f>
              <c:strCache>
                <c:ptCount val="1"/>
                <c:pt idx="0">
                  <c:v>Tech.Cri2</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SummaryMatrix!$C$23</c:f>
              <c:numCache>
                <c:formatCode>General</c:formatCode>
                <c:ptCount val="1"/>
                <c:pt idx="0">
                  <c:v>1.5</c:v>
                </c:pt>
              </c:numCache>
            </c:numRef>
          </c:xVal>
          <c:yVal>
            <c:numRef>
              <c:f>SummaryMatrix!$D$23</c:f>
              <c:numCache>
                <c:formatCode>General</c:formatCode>
                <c:ptCount val="1"/>
                <c:pt idx="0">
                  <c:v>1.7</c:v>
                </c:pt>
              </c:numCache>
            </c:numRef>
          </c:yVal>
          <c:smooth val="0"/>
          <c:extLst>
            <c:ext xmlns:c16="http://schemas.microsoft.com/office/drawing/2014/chart" uri="{C3380CC4-5D6E-409C-BE32-E72D297353CC}">
              <c16:uniqueId val="{00000008-3F76-4806-AC6A-9AE65CBCEB49}"/>
            </c:ext>
          </c:extLst>
        </c:ser>
        <c:dLbls>
          <c:dLblPos val="t"/>
          <c:showLegendKey val="0"/>
          <c:showVal val="1"/>
          <c:showCatName val="0"/>
          <c:showSerName val="0"/>
          <c:showPercent val="0"/>
          <c:showBubbleSize val="0"/>
        </c:dLbls>
        <c:axId val="108254336"/>
        <c:axId val="108255872"/>
      </c:scatterChart>
      <c:valAx>
        <c:axId val="108254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255872"/>
        <c:crosses val="autoZero"/>
        <c:crossBetween val="midCat"/>
      </c:valAx>
      <c:valAx>
        <c:axId val="10825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254336"/>
        <c:crosses val="autoZero"/>
        <c:crossBetween val="midCat"/>
        <c:majorUnit val="0.25"/>
      </c:valAx>
      <c:spPr>
        <a:noFill/>
        <a:ln>
          <a:noFill/>
        </a:ln>
        <a:effectLst/>
      </c:spPr>
    </c:plotArea>
    <c:legend>
      <c:legendPos val="b"/>
      <c:layout>
        <c:manualLayout>
          <c:xMode val="edge"/>
          <c:yMode val="edge"/>
          <c:x val="0.81186166900071932"/>
          <c:y val="0.15642442054451441"/>
          <c:w val="0.16187773403324585"/>
          <c:h val="0.760417760279964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103842867169209"/>
          <c:y val="2.1941422879677857E-2"/>
          <c:w val="0.68433768101965697"/>
          <c:h val="0.87601713936107706"/>
        </c:manualLayout>
      </c:layout>
      <c:scatterChart>
        <c:scatterStyle val="lineMarker"/>
        <c:varyColors val="0"/>
        <c:ser>
          <c:idx val="6"/>
          <c:order val="0"/>
          <c:tx>
            <c:strRef>
              <c:f>SummaryMatrix!$A$21</c:f>
              <c:strCache>
                <c:ptCount val="1"/>
                <c:pt idx="0">
                  <c:v>Op.Crit7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SummaryMatrix!$C$21</c:f>
              <c:numCache>
                <c:formatCode>General</c:formatCode>
                <c:ptCount val="1"/>
                <c:pt idx="0">
                  <c:v>1</c:v>
                </c:pt>
              </c:numCache>
            </c:numRef>
          </c:xVal>
          <c:yVal>
            <c:numRef>
              <c:f>SummaryMatrix!$D$21</c:f>
              <c:numCache>
                <c:formatCode>General</c:formatCode>
                <c:ptCount val="1"/>
                <c:pt idx="0">
                  <c:v>2.9</c:v>
                </c:pt>
              </c:numCache>
            </c:numRef>
          </c:yVal>
          <c:smooth val="0"/>
          <c:extLst>
            <c:ext xmlns:c16="http://schemas.microsoft.com/office/drawing/2014/chart" uri="{C3380CC4-5D6E-409C-BE32-E72D297353CC}">
              <c16:uniqueId val="{00000006-1D2B-4680-9007-D48021908671}"/>
            </c:ext>
          </c:extLst>
        </c:ser>
        <c:ser>
          <c:idx val="7"/>
          <c:order val="1"/>
          <c:tx>
            <c:strRef>
              <c:f>SummaryMatrix!$A$22</c:f>
              <c:strCache>
                <c:ptCount val="1"/>
                <c:pt idx="0">
                  <c:v>Op.Crit8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SummaryMatrix!$C$22</c:f>
              <c:numCache>
                <c:formatCode>General</c:formatCode>
                <c:ptCount val="1"/>
                <c:pt idx="0">
                  <c:v>3</c:v>
                </c:pt>
              </c:numCache>
            </c:numRef>
          </c:xVal>
          <c:yVal>
            <c:numRef>
              <c:f>SummaryMatrix!$D$22</c:f>
              <c:numCache>
                <c:formatCode>General</c:formatCode>
                <c:ptCount val="1"/>
                <c:pt idx="0">
                  <c:v>1.9</c:v>
                </c:pt>
              </c:numCache>
            </c:numRef>
          </c:yVal>
          <c:smooth val="0"/>
          <c:extLst>
            <c:ext xmlns:c16="http://schemas.microsoft.com/office/drawing/2014/chart" uri="{C3380CC4-5D6E-409C-BE32-E72D297353CC}">
              <c16:uniqueId val="{00000007-1D2B-4680-9007-D48021908671}"/>
            </c:ext>
          </c:extLst>
        </c:ser>
        <c:dLbls>
          <c:showLegendKey val="0"/>
          <c:showVal val="0"/>
          <c:showCatName val="0"/>
          <c:showSerName val="0"/>
          <c:showPercent val="0"/>
          <c:showBubbleSize val="0"/>
        </c:dLbls>
        <c:axId val="108364160"/>
        <c:axId val="108366464"/>
      </c:scatterChart>
      <c:valAx>
        <c:axId val="108364160"/>
        <c:scaling>
          <c:orientation val="minMax"/>
          <c:max val="3.2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366464"/>
        <c:crosses val="autoZero"/>
        <c:crossBetween val="midCat"/>
        <c:majorUnit val="0.25"/>
      </c:valAx>
      <c:valAx>
        <c:axId val="108366464"/>
        <c:scaling>
          <c:orientation val="minMax"/>
          <c:max val="3"/>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8364160"/>
        <c:crosses val="autoZero"/>
        <c:crossBetween val="midCat"/>
        <c:majorUnit val="0.25"/>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x-none"/>
              <a:t>External</a:t>
            </a:r>
          </a:p>
        </c:rich>
      </c:tx>
      <c:layout>
        <c:manualLayout>
          <c:xMode val="edge"/>
          <c:yMode val="edge"/>
          <c:x val="1.3368003578590507E-2"/>
          <c:y val="2.4684100739637591E-2"/>
        </c:manualLayout>
      </c:layout>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SummaryMatrix!$D$111</c:f>
              <c:numCache>
                <c:formatCode>General</c:formatCode>
                <c:ptCount val="1"/>
                <c:pt idx="0">
                  <c:v>3.9</c:v>
                </c:pt>
              </c:numCache>
            </c:numRef>
          </c:xVal>
          <c:yVal>
            <c:numRef>
              <c:f>SummaryMatrix!$B$111:$C$111</c:f>
              <c:numCache>
                <c:formatCode>General</c:formatCode>
                <c:ptCount val="2"/>
                <c:pt idx="0">
                  <c:v>0</c:v>
                </c:pt>
                <c:pt idx="1">
                  <c:v>2</c:v>
                </c:pt>
              </c:numCache>
            </c:numRef>
          </c:yVal>
          <c:smooth val="0"/>
          <c:extLst>
            <c:ext xmlns:c16="http://schemas.microsoft.com/office/drawing/2014/chart" uri="{C3380CC4-5D6E-409C-BE32-E72D297353CC}">
              <c16:uniqueId val="{00000000-1FB6-4EED-B68E-2076F29BE9F0}"/>
            </c:ext>
          </c:extLst>
        </c:ser>
        <c:ser>
          <c:idx val="1"/>
          <c:order val="1"/>
          <c:tx>
            <c:strRef>
              <c:f>SummaryMatrix!$A$112</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SummaryMatrix!$D$112</c:f>
              <c:numCache>
                <c:formatCode>General</c:formatCode>
                <c:ptCount val="1"/>
              </c:numCache>
            </c:numRef>
          </c:xVal>
          <c:yVal>
            <c:numRef>
              <c:f>SummaryMatrix!$C$112</c:f>
              <c:numCache>
                <c:formatCode>General</c:formatCode>
                <c:ptCount val="1"/>
              </c:numCache>
            </c:numRef>
          </c:yVal>
          <c:smooth val="0"/>
          <c:extLst>
            <c:ext xmlns:c16="http://schemas.microsoft.com/office/drawing/2014/chart" uri="{C3380CC4-5D6E-409C-BE32-E72D297353CC}">
              <c16:uniqueId val="{00000001-1FB6-4EED-B68E-2076F29BE9F0}"/>
            </c:ext>
          </c:extLst>
        </c:ser>
        <c:ser>
          <c:idx val="2"/>
          <c:order val="2"/>
          <c:tx>
            <c:strRef>
              <c:f>SummaryMatrix!$A$113</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SummaryMatrix!$D$113</c:f>
              <c:numCache>
                <c:formatCode>General</c:formatCode>
                <c:ptCount val="1"/>
              </c:numCache>
            </c:numRef>
          </c:xVal>
          <c:yVal>
            <c:numRef>
              <c:f>SummaryMatrix!$C$113</c:f>
              <c:numCache>
                <c:formatCode>General</c:formatCode>
                <c:ptCount val="1"/>
              </c:numCache>
            </c:numRef>
          </c:yVal>
          <c:smooth val="0"/>
          <c:extLst>
            <c:ext xmlns:c16="http://schemas.microsoft.com/office/drawing/2014/chart" uri="{C3380CC4-5D6E-409C-BE32-E72D297353CC}">
              <c16:uniqueId val="{00000002-1FB6-4EED-B68E-2076F29BE9F0}"/>
            </c:ext>
          </c:extLst>
        </c:ser>
        <c:ser>
          <c:idx val="3"/>
          <c:order val="3"/>
          <c:tx>
            <c:strRef>
              <c:f>SummaryMatrix!$A$114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SummaryMatrix!$D$114</c:f>
              <c:numCache>
                <c:formatCode>General</c:formatCode>
                <c:ptCount val="1"/>
              </c:numCache>
            </c:numRef>
          </c:xVal>
          <c:yVal>
            <c:numRef>
              <c:f>SummaryMatrix!$C$114</c:f>
              <c:numCache>
                <c:formatCode>General</c:formatCode>
                <c:ptCount val="1"/>
              </c:numCache>
            </c:numRef>
          </c:yVal>
          <c:smooth val="0"/>
          <c:extLst>
            <c:ext xmlns:c16="http://schemas.microsoft.com/office/drawing/2014/chart" uri="{C3380CC4-5D6E-409C-BE32-E72D297353CC}">
              <c16:uniqueId val="{00000003-1FB6-4EED-B68E-2076F29BE9F0}"/>
            </c:ext>
          </c:extLst>
        </c:ser>
        <c:ser>
          <c:idx val="4"/>
          <c:order val="4"/>
          <c:tx>
            <c:strRef>
              <c:f>SummaryMatrix!$A$126</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SummaryMatrix!$C$126</c:f>
              <c:numCache>
                <c:formatCode>General</c:formatCode>
                <c:ptCount val="1"/>
              </c:numCache>
            </c:numRef>
          </c:xVal>
          <c:yVal>
            <c:numRef>
              <c:f>SummaryMatrix!$B$126</c:f>
              <c:numCache>
                <c:formatCode>General</c:formatCode>
                <c:ptCount val="1"/>
              </c:numCache>
            </c:numRef>
          </c:yVal>
          <c:smooth val="0"/>
          <c:extLst>
            <c:ext xmlns:c16="http://schemas.microsoft.com/office/drawing/2014/chart" uri="{C3380CC4-5D6E-409C-BE32-E72D297353CC}">
              <c16:uniqueId val="{00000004-1FB6-4EED-B68E-2076F29BE9F0}"/>
            </c:ext>
          </c:extLst>
        </c:ser>
        <c:ser>
          <c:idx val="5"/>
          <c:order val="5"/>
          <c:tx>
            <c:strRef>
              <c:f>SummaryMatrix!$A$115</c:f>
              <c:strCache>
                <c:ptCount val="1"/>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SummaryMatrix!$D$115</c:f>
              <c:numCache>
                <c:formatCode>General</c:formatCode>
                <c:ptCount val="1"/>
              </c:numCache>
            </c:numRef>
          </c:xVal>
          <c:yVal>
            <c:numRef>
              <c:f>SummaryMatrix!$C$115</c:f>
              <c:numCache>
                <c:formatCode>General</c:formatCode>
                <c:ptCount val="1"/>
              </c:numCache>
            </c:numRef>
          </c:yVal>
          <c:smooth val="0"/>
          <c:extLst>
            <c:ext xmlns:c16="http://schemas.microsoft.com/office/drawing/2014/chart" uri="{C3380CC4-5D6E-409C-BE32-E72D297353CC}">
              <c16:uniqueId val="{00000005-1FB6-4EED-B68E-2076F29BE9F0}"/>
            </c:ext>
          </c:extLst>
        </c:ser>
        <c:dLbls>
          <c:dLblPos val="t"/>
          <c:showLegendKey val="0"/>
          <c:showVal val="1"/>
          <c:showCatName val="0"/>
          <c:showSerName val="0"/>
          <c:showPercent val="0"/>
          <c:showBubbleSize val="0"/>
        </c:dLbls>
        <c:axId val="108523520"/>
        <c:axId val="108525056"/>
      </c:scatterChart>
      <c:valAx>
        <c:axId val="108523520"/>
        <c:scaling>
          <c:orientation val="minMax"/>
          <c:max val="5.25"/>
          <c:min val="2.75"/>
        </c:scaling>
        <c:delete val="0"/>
        <c:axPos val="b"/>
        <c:majorGridlines>
          <c:spPr>
            <a:ln w="9525" cap="flat" cmpd="dbl" algn="ctr">
              <a:gradFill>
                <a:gsLst>
                  <a:gs pos="53200">
                    <a:schemeClr val="accent4">
                      <a:lumMod val="60000"/>
                      <a:lumOff val="40000"/>
                    </a:schemeClr>
                  </a:gs>
                  <a:gs pos="100000">
                    <a:schemeClr val="accent2">
                      <a:lumMod val="75000"/>
                    </a:schemeClr>
                  </a:gs>
                  <a:gs pos="0">
                    <a:schemeClr val="accent6">
                      <a:lumMod val="75000"/>
                    </a:schemeClr>
                  </a:gs>
                </a:gsLst>
                <a:lin ang="10800000" scaled="0"/>
              </a:gra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8525056"/>
        <c:crossesAt val="3"/>
        <c:crossBetween val="midCat"/>
        <c:majorUnit val="0.25"/>
      </c:valAx>
      <c:valAx>
        <c:axId val="108525056"/>
        <c:scaling>
          <c:orientation val="minMax"/>
          <c:max val="3"/>
          <c:min val="0"/>
        </c:scaling>
        <c:delete val="0"/>
        <c:axPos val="l"/>
        <c:majorGridlines>
          <c:spPr>
            <a:ln w="9525" cap="flat" cmpd="sng" algn="ctr">
              <a:gradFill>
                <a:gsLst>
                  <a:gs pos="52400">
                    <a:schemeClr val="accent4">
                      <a:lumMod val="60000"/>
                      <a:lumOff val="40000"/>
                    </a:schemeClr>
                  </a:gs>
                  <a:gs pos="100000">
                    <a:schemeClr val="accent2">
                      <a:lumMod val="60000"/>
                      <a:lumOff val="40000"/>
                    </a:schemeClr>
                  </a:gs>
                  <a:gs pos="0">
                    <a:schemeClr val="accent6">
                      <a:lumMod val="75000"/>
                    </a:schemeClr>
                  </a:gs>
                </a:gsLst>
                <a:lin ang="10800000" scaled="0"/>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a:t>Oportunities</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8523520"/>
        <c:crossesAt val="0"/>
        <c:crossBetween val="midCat"/>
        <c:majorUnit val="1"/>
        <c:minorUnit val="0.15000000000000002"/>
      </c:valAx>
      <c:spPr>
        <a:gradFill flip="none" rotWithShape="1">
          <a:gsLst>
            <a:gs pos="24000">
              <a:schemeClr val="accent2">
                <a:lumMod val="40000"/>
                <a:lumOff val="60000"/>
              </a:schemeClr>
            </a:gs>
            <a:gs pos="80000">
              <a:schemeClr val="accent6">
                <a:lumMod val="40000"/>
                <a:lumOff val="60000"/>
              </a:schemeClr>
            </a:gs>
            <a:gs pos="58000">
              <a:schemeClr val="accent4">
                <a:lumMod val="40000"/>
                <a:lumOff val="60000"/>
              </a:schemeClr>
            </a:gs>
            <a:gs pos="41000">
              <a:schemeClr val="accent4">
                <a:lumMod val="40000"/>
                <a:lumOff val="60000"/>
              </a:schemeClr>
            </a:gs>
            <a:gs pos="0">
              <a:schemeClr val="accent2">
                <a:lumMod val="40000"/>
                <a:lumOff val="60000"/>
              </a:schemeClr>
            </a:gs>
            <a:gs pos="100000">
              <a:schemeClr val="accent6">
                <a:lumMod val="60000"/>
                <a:lumOff val="40000"/>
              </a:schemeClr>
            </a:gs>
          </a:gsLst>
          <a:lin ang="16200000" scaled="0"/>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AEE-4474-B493-2EA3C3C9E81C}"/>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AEE-4474-B493-2EA3C3C9E81C}"/>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0-FAEE-4474-B493-2EA3C3C9E81C}"/>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5-FAEE-4474-B493-2EA3C3C9E81C}"/>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FAEE-4474-B493-2EA3C3C9E81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1-FAEE-4474-B493-2EA3C3C9E81C}"/>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6-FAEE-4474-B493-2EA3C3C9E81C}"/>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FAEE-4474-B493-2EA3C3C9E81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2-FAEE-4474-B493-2EA3C3C9E81C}"/>
            </c:ext>
          </c:extLst>
        </c:ser>
        <c:ser>
          <c:idx val="3"/>
          <c:order val="3"/>
          <c:tx>
            <c:strRef>
              <c:f>SummaryMatrix!$A$115</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AEE-4474-B493-2EA3C3C9E81C}"/>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AEE-4474-B493-2EA3C3C9E81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3-FAEE-4474-B493-2EA3C3C9E81C}"/>
            </c:ext>
          </c:extLst>
        </c:ser>
        <c:dLbls>
          <c:dLblPos val="t"/>
          <c:showLegendKey val="0"/>
          <c:showVal val="1"/>
          <c:showCatName val="0"/>
          <c:showSerName val="0"/>
          <c:showPercent val="0"/>
          <c:showBubbleSize val="0"/>
        </c:dLbls>
        <c:axId val="109655936"/>
        <c:axId val="109657472"/>
      </c:scatterChart>
      <c:valAx>
        <c:axId val="109655936"/>
        <c:scaling>
          <c:orientation val="minMax"/>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9657472"/>
        <c:crossesAt val="3"/>
        <c:crossBetween val="midCat"/>
        <c:majorUnit val="1"/>
      </c:valAx>
      <c:valAx>
        <c:axId val="109657472"/>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9655936"/>
        <c:crossesAt val="0"/>
        <c:crossBetween val="midCat"/>
        <c:majorUnit val="0.5"/>
        <c:minorUnit val="0.150000000000000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695F-4728-86FA-77A22EEE2C46}"/>
              </c:ext>
            </c:extLst>
          </c:dPt>
          <c:dLbls>
            <c:dLbl>
              <c:idx val="0"/>
              <c:layout>
                <c:manualLayout>
                  <c:x val="2.5653430237314429E-3"/>
                  <c:y val="-1.4020712566836449E-2"/>
                </c:manualLayout>
              </c:layout>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695F-4728-86FA-77A22EEE2C46}"/>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0-695F-4728-86FA-77A22EEE2C46}"/>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8-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1-695F-4728-86FA-77A22EEE2C46}"/>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9-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2-695F-4728-86FA-77A22EEE2C46}"/>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3-695F-4728-86FA-77A22EEE2C46}"/>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B-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4-695F-4728-86FA-77A22EEE2C46}"/>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C-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05-695F-4728-86FA-77A22EEE2C46}"/>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06-695F-4728-86FA-77A22EEE2C46}"/>
            </c:ext>
          </c:extLst>
        </c:ser>
        <c:dLbls>
          <c:dLblPos val="t"/>
          <c:showLegendKey val="0"/>
          <c:showVal val="1"/>
          <c:showCatName val="0"/>
          <c:showSerName val="0"/>
          <c:showPercent val="0"/>
          <c:showBubbleSize val="0"/>
        </c:dLbls>
        <c:axId val="109721088"/>
        <c:axId val="109722624"/>
      </c:scatterChart>
      <c:valAx>
        <c:axId val="109721088"/>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9722624"/>
        <c:crossesAt val="3"/>
        <c:crossBetween val="midCat"/>
        <c:majorUnit val="1"/>
      </c:valAx>
      <c:valAx>
        <c:axId val="109722624"/>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9721088"/>
        <c:crossesAt val="0"/>
        <c:crossBetween val="midCat"/>
        <c:majorUnit val="0.5"/>
        <c:minorUnit val="0.150000000000000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9-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CEA5-4859-8E40-705873DFC9B8}"/>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0-CEA5-4859-8E40-705873DFC9B8}"/>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1-CEA5-4859-8E40-705873DFC9B8}"/>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B-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2-CEA5-4859-8E40-705873DFC9B8}"/>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C-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3-CEA5-4859-8E40-705873DFC9B8}"/>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4-CEA5-4859-8E40-705873DFC9B8}"/>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8-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05-CEA5-4859-8E40-705873DFC9B8}"/>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E-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06-CEA5-4859-8E40-705873DFC9B8}"/>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F-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07-CEA5-4859-8E40-705873DFC9B8}"/>
            </c:ext>
          </c:extLst>
        </c:ser>
        <c:dLbls>
          <c:dLblPos val="t"/>
          <c:showLegendKey val="0"/>
          <c:showVal val="1"/>
          <c:showCatName val="0"/>
          <c:showSerName val="0"/>
          <c:showPercent val="0"/>
          <c:showBubbleSize val="0"/>
        </c:dLbls>
        <c:axId val="112042368"/>
        <c:axId val="112043904"/>
      </c:scatterChart>
      <c:valAx>
        <c:axId val="112042368"/>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043904"/>
        <c:crossesAt val="3"/>
        <c:crossBetween val="midCat"/>
        <c:majorUnit val="1"/>
      </c:valAx>
      <c:valAx>
        <c:axId val="112043904"/>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042368"/>
        <c:crossesAt val="0"/>
        <c:crossBetween val="midCat"/>
        <c:majorUnit val="0.5"/>
        <c:minorUnit val="0.150000000000000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A935-4CD7-AC6F-CA2DEEC161FE}"/>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A935-4CD7-AC6F-CA2DEEC161FE}"/>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0-3B85-49A2-B926-65C7DFE38C43}"/>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E-A935-4CD7-AC6F-CA2DEEC161F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A935-4CD7-AC6F-CA2DEEC161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1-3B85-49A2-B926-65C7DFE38C43}"/>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F-A935-4CD7-AC6F-CA2DEEC161F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A935-4CD7-AC6F-CA2DEEC161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2-3B85-49A2-B926-65C7DFE38C43}"/>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0-A935-4CD7-AC6F-CA2DEEC161F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A935-4CD7-AC6F-CA2DEEC161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3-3B85-49A2-B926-65C7DFE38C43}"/>
            </c:ext>
          </c:extLst>
        </c:ser>
        <c:dLbls>
          <c:dLblPos val="t"/>
          <c:showLegendKey val="0"/>
          <c:showVal val="1"/>
          <c:showCatName val="0"/>
          <c:showSerName val="0"/>
          <c:showPercent val="0"/>
          <c:showBubbleSize val="0"/>
        </c:dLbls>
        <c:axId val="112527616"/>
        <c:axId val="112529408"/>
      </c:scatterChart>
      <c:valAx>
        <c:axId val="112527616"/>
        <c:scaling>
          <c:orientation val="minMax"/>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529408"/>
        <c:crossesAt val="3"/>
        <c:crossBetween val="midCat"/>
        <c:majorUnit val="1"/>
      </c:valAx>
      <c:valAx>
        <c:axId val="112529408"/>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527616"/>
        <c:crossesAt val="0"/>
        <c:crossBetween val="midCat"/>
        <c:majorUnit val="0.5"/>
        <c:minorUnit val="0.150000000000000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F900-48E0-9B83-6C1B359B81C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900-48E0-9B83-6C1B359B81C6}"/>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F900-48E0-9B83-6C1B359B81C6}"/>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900-48E0-9B83-6C1B359B81C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900-48E0-9B83-6C1B359B81C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F900-48E0-9B83-6C1B359B81C6}"/>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900-48E0-9B83-6C1B359B81C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900-48E0-9B83-6C1B359B81C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F900-48E0-9B83-6C1B359B81C6}"/>
            </c:ext>
          </c:extLst>
        </c:ser>
        <c:ser>
          <c:idx val="3"/>
          <c:order val="3"/>
          <c:tx>
            <c:strRef>
              <c:f>SummaryMatrix!$A$115</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F900-48E0-9B83-6C1B359B81C6}"/>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F900-48E0-9B83-6C1B359B81C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B-F900-48E0-9B83-6C1B359B81C6}"/>
            </c:ext>
          </c:extLst>
        </c:ser>
        <c:dLbls>
          <c:dLblPos val="t"/>
          <c:showLegendKey val="0"/>
          <c:showVal val="1"/>
          <c:showCatName val="0"/>
          <c:showSerName val="0"/>
          <c:showPercent val="0"/>
          <c:showBubbleSize val="0"/>
        </c:dLbls>
        <c:axId val="112619904"/>
        <c:axId val="112621440"/>
      </c:scatterChart>
      <c:valAx>
        <c:axId val="112619904"/>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621440"/>
        <c:crossesAt val="3"/>
        <c:crossBetween val="midCat"/>
        <c:majorUnit val="1"/>
      </c:valAx>
      <c:valAx>
        <c:axId val="112621440"/>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619904"/>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D7C1-47B0-8887-011A24ACD03A}"/>
              </c:ext>
            </c:extLst>
          </c:dPt>
          <c:dLbls>
            <c:dLbl>
              <c:idx val="0"/>
              <c:layout>
                <c:manualLayout>
                  <c:x val="2.5653430237314429E-3"/>
                  <c:y val="-1.4020712566836449E-2"/>
                </c:manualLayout>
              </c:layout>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7C1-47B0-8887-011A24ACD03A}"/>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D7C1-47B0-8887-011A24ACD03A}"/>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D7C1-47B0-8887-011A24ACD03A}"/>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D7C1-47B0-8887-011A24ACD03A}"/>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D7C1-47B0-8887-011A24ACD03A}"/>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D7C1-47B0-8887-011A24ACD03A}"/>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D7C1-47B0-8887-011A24ACD03A}"/>
              </c:ext>
            </c:extLst>
          </c:dPt>
          <c:dLbls>
            <c:dLbl>
              <c:idx val="0"/>
              <c:layout>
                <c:manualLayout>
                  <c:x val="-0.20266209887478398"/>
                  <c:y val="2.4536246991963693E-2"/>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D7C1-47B0-8887-011A24ACD03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D7C1-47B0-8887-011A24ACD03A}"/>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D7C1-47B0-8887-011A24ACD03A}"/>
            </c:ext>
          </c:extLst>
        </c:ser>
        <c:dLbls>
          <c:dLblPos val="t"/>
          <c:showLegendKey val="0"/>
          <c:showVal val="1"/>
          <c:showCatName val="0"/>
          <c:showSerName val="0"/>
          <c:showPercent val="0"/>
          <c:showBubbleSize val="0"/>
        </c:dLbls>
        <c:axId val="112674688"/>
        <c:axId val="112690688"/>
      </c:scatterChart>
      <c:valAx>
        <c:axId val="112674688"/>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690688"/>
        <c:crossesAt val="3"/>
        <c:crossBetween val="midCat"/>
        <c:majorUnit val="1"/>
      </c:valAx>
      <c:valAx>
        <c:axId val="112690688"/>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674688"/>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A018-4700-97CC-2C40B80FB347}"/>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A018-4700-97CC-2C40B80FB347}"/>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A018-4700-97CC-2C40B80FB347}"/>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A018-4700-97CC-2C40B80FB347}"/>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A018-4700-97CC-2C40B80FB347}"/>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A018-4700-97CC-2C40B80FB347}"/>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A018-4700-97CC-2C40B80FB347}"/>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A018-4700-97CC-2C40B80FB347}"/>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A018-4700-97CC-2C40B80FB347}"/>
            </c:ext>
          </c:extLst>
        </c:ser>
        <c:dLbls>
          <c:dLblPos val="t"/>
          <c:showLegendKey val="0"/>
          <c:showVal val="1"/>
          <c:showCatName val="0"/>
          <c:showSerName val="0"/>
          <c:showPercent val="0"/>
          <c:showBubbleSize val="0"/>
        </c:dLbls>
        <c:axId val="112372352"/>
        <c:axId val="112464256"/>
      </c:scatterChart>
      <c:valAx>
        <c:axId val="112372352"/>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464256"/>
        <c:crossesAt val="3"/>
        <c:crossBetween val="midCat"/>
        <c:majorUnit val="1"/>
      </c:valAx>
      <c:valAx>
        <c:axId val="112464256"/>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372352"/>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8B7C-434A-A439-3401BA319542}"/>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B7C-434A-A439-3401BA319542}"/>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8B7C-434A-A439-3401BA319542}"/>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8B7C-434A-A439-3401BA319542}"/>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8B7C-434A-A439-3401BA319542}"/>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8B7C-434A-A439-3401BA319542}"/>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8B7C-434A-A439-3401BA319542}"/>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8B7C-434A-A439-3401BA319542}"/>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8B7C-434A-A439-3401BA319542}"/>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8B7C-434A-A439-3401BA319542}"/>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8B7C-434A-A439-3401BA319542}"/>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8B7C-434A-A439-3401BA319542}"/>
            </c:ext>
          </c:extLst>
        </c:ser>
        <c:dLbls>
          <c:dLblPos val="t"/>
          <c:showLegendKey val="0"/>
          <c:showVal val="1"/>
          <c:showCatName val="0"/>
          <c:showSerName val="0"/>
          <c:showPercent val="0"/>
          <c:showBubbleSize val="0"/>
        </c:dLbls>
        <c:axId val="113054464"/>
        <c:axId val="113056000"/>
      </c:scatterChart>
      <c:valAx>
        <c:axId val="113054464"/>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056000"/>
        <c:crossesAt val="3"/>
        <c:crossBetween val="midCat"/>
        <c:majorUnit val="1"/>
      </c:valAx>
      <c:valAx>
        <c:axId val="113056000"/>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054464"/>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1790-4E81-A0A3-C9464922A92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1790-4E81-A0A3-C9464922A927}"/>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1790-4E81-A0A3-C9464922A927}"/>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1790-4E81-A0A3-C9464922A92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1790-4E81-A0A3-C9464922A92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1790-4E81-A0A3-C9464922A927}"/>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1790-4E81-A0A3-C9464922A92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1790-4E81-A0A3-C9464922A92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1790-4E81-A0A3-C9464922A927}"/>
            </c:ext>
          </c:extLst>
        </c:ser>
        <c:ser>
          <c:idx val="3"/>
          <c:order val="3"/>
          <c:tx>
            <c:strRef>
              <c:f>SummaryMatrix!$A$115</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1790-4E81-A0A3-C9464922A927}"/>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1790-4E81-A0A3-C9464922A92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B-1790-4E81-A0A3-C9464922A927}"/>
            </c:ext>
          </c:extLst>
        </c:ser>
        <c:dLbls>
          <c:dLblPos val="t"/>
          <c:showLegendKey val="0"/>
          <c:showVal val="1"/>
          <c:showCatName val="0"/>
          <c:showSerName val="0"/>
          <c:showPercent val="0"/>
          <c:showBubbleSize val="0"/>
        </c:dLbls>
        <c:axId val="113154688"/>
        <c:axId val="113160576"/>
      </c:scatterChart>
      <c:valAx>
        <c:axId val="113154688"/>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160576"/>
        <c:crossesAt val="3"/>
        <c:crossBetween val="midCat"/>
        <c:majorUnit val="1"/>
      </c:valAx>
      <c:valAx>
        <c:axId val="113160576"/>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154688"/>
        <c:crossesAt val="0"/>
        <c:crossBetween val="midCat"/>
        <c:majorUnit val="0.1"/>
      </c:valAx>
      <c:spPr>
        <a:gradFill flip="none" rotWithShape="1">
          <a:gsLst>
            <a:gs pos="50000">
              <a:schemeClr val="accent6">
                <a:lumMod val="40000"/>
                <a:lumOff val="60000"/>
              </a:schemeClr>
            </a:gs>
            <a:gs pos="100000">
              <a:schemeClr val="accent4">
                <a:lumMod val="20000"/>
                <a:lumOff val="80000"/>
              </a:schemeClr>
            </a:gs>
            <a:gs pos="24000">
              <a:srgbClr val="8BC167"/>
            </a:gs>
            <a:gs pos="80000">
              <a:schemeClr val="accent4">
                <a:lumMod val="40000"/>
                <a:lumOff val="60000"/>
              </a:schemeClr>
            </a:gs>
            <a:gs pos="0">
              <a:schemeClr val="accent6">
                <a:lumMod val="50000"/>
              </a:schemeClr>
            </a:gs>
          </a:gsLst>
          <a:path path="rect">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3A4A-4696-BD9F-F651CC6EE16F}"/>
              </c:ext>
            </c:extLst>
          </c:dPt>
          <c:dLbls>
            <c:dLbl>
              <c:idx val="0"/>
              <c:layout>
                <c:manualLayout>
                  <c:x val="2.5653430237314429E-3"/>
                  <c:y val="-1.4020712566836449E-2"/>
                </c:manualLayout>
              </c:layout>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3A4A-4696-BD9F-F651CC6EE16F}"/>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3A4A-4696-BD9F-F651CC6EE16F}"/>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3A4A-4696-BD9F-F651CC6EE16F}"/>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3A4A-4696-BD9F-F651CC6EE16F}"/>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3A4A-4696-BD9F-F651CC6EE16F}"/>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3A4A-4696-BD9F-F651CC6EE16F}"/>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3A4A-4696-BD9F-F651CC6EE16F}"/>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3A4A-4696-BD9F-F651CC6EE16F}"/>
            </c:ext>
          </c:extLst>
        </c:ser>
        <c:dLbls>
          <c:dLblPos val="t"/>
          <c:showLegendKey val="0"/>
          <c:showVal val="1"/>
          <c:showCatName val="0"/>
          <c:showSerName val="0"/>
          <c:showPercent val="0"/>
          <c:showBubbleSize val="0"/>
        </c:dLbls>
        <c:axId val="112892160"/>
        <c:axId val="112906240"/>
      </c:scatterChart>
      <c:valAx>
        <c:axId val="112892160"/>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906240"/>
        <c:crossesAt val="3"/>
        <c:crossBetween val="midCat"/>
        <c:majorUnit val="1"/>
      </c:valAx>
      <c:valAx>
        <c:axId val="112906240"/>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in"/>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892160"/>
        <c:crossesAt val="0"/>
        <c:crossBetween val="midCat"/>
        <c:majorUnit val="0.1"/>
      </c:valAx>
      <c:spPr>
        <a:gradFill flip="none" rotWithShape="1">
          <a:gsLst>
            <a:gs pos="38000">
              <a:schemeClr val="accent6">
                <a:lumMod val="40000"/>
                <a:lumOff val="60000"/>
              </a:schemeClr>
            </a:gs>
            <a:gs pos="100000">
              <a:schemeClr val="accent4">
                <a:lumMod val="20000"/>
                <a:lumOff val="80000"/>
              </a:schemeClr>
            </a:gs>
            <a:gs pos="19000">
              <a:srgbClr val="8BC167"/>
            </a:gs>
            <a:gs pos="62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5695-4E42-9C4C-04DB9BBCE55E}"/>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5695-4E42-9C4C-04DB9BBCE55E}"/>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5695-4E42-9C4C-04DB9BBCE55E}"/>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5695-4E42-9C4C-04DB9BBCE55E}"/>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5695-4E42-9C4C-04DB9BBCE55E}"/>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5695-4E42-9C4C-04DB9BBCE55E}"/>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5695-4E42-9C4C-04DB9BBCE55E}"/>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5695-4E42-9C4C-04DB9BBCE55E}"/>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5695-4E42-9C4C-04DB9BBCE55E}"/>
            </c:ext>
          </c:extLst>
        </c:ser>
        <c:dLbls>
          <c:dLblPos val="t"/>
          <c:showLegendKey val="0"/>
          <c:showVal val="1"/>
          <c:showCatName val="0"/>
          <c:showSerName val="0"/>
          <c:showPercent val="0"/>
          <c:showBubbleSize val="0"/>
        </c:dLbls>
        <c:axId val="113239168"/>
        <c:axId val="113240704"/>
      </c:scatterChart>
      <c:valAx>
        <c:axId val="113239168"/>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240704"/>
        <c:crossesAt val="3"/>
        <c:crossBetween val="midCat"/>
        <c:majorUnit val="1"/>
      </c:valAx>
      <c:valAx>
        <c:axId val="113240704"/>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239168"/>
        <c:crossesAt val="0"/>
        <c:crossBetween val="midCat"/>
        <c:majorUnit val="0.1"/>
      </c:valAx>
      <c:spPr>
        <a:gradFill flip="none" rotWithShape="1">
          <a:gsLst>
            <a:gs pos="50000">
              <a:schemeClr val="accent2">
                <a:lumMod val="63000"/>
                <a:lumOff val="37000"/>
              </a:schemeClr>
            </a:gs>
            <a:gs pos="100000">
              <a:schemeClr val="accent4">
                <a:lumMod val="20000"/>
                <a:lumOff val="80000"/>
              </a:schemeClr>
            </a:gs>
            <a:gs pos="25000">
              <a:srgbClr val="FA533D"/>
            </a:gs>
            <a:gs pos="80000">
              <a:schemeClr val="accent4">
                <a:lumMod val="40000"/>
                <a:lumOff val="60000"/>
              </a:schemeClr>
            </a:gs>
            <a:gs pos="0">
              <a:srgbClr val="FF0000"/>
            </a:gs>
          </a:gsLst>
          <a:path path="rect">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BFD-463F-AF18-FCC1423E6010}"/>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BFD-463F-AF18-FCC1423E6010}"/>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BBFD-463F-AF18-FCC1423E6010}"/>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BBFD-463F-AF18-FCC1423E6010}"/>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BBFD-463F-AF18-FCC1423E601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BBFD-463F-AF18-FCC1423E6010}"/>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BBFD-463F-AF18-FCC1423E6010}"/>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BFD-463F-AF18-FCC1423E601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BBFD-463F-AF18-FCC1423E6010}"/>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BBFD-463F-AF18-FCC1423E6010}"/>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BBFD-463F-AF18-FCC1423E601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BBFD-463F-AF18-FCC1423E6010}"/>
            </c:ext>
          </c:extLst>
        </c:ser>
        <c:dLbls>
          <c:dLblPos val="t"/>
          <c:showLegendKey val="0"/>
          <c:showVal val="1"/>
          <c:showCatName val="0"/>
          <c:showSerName val="0"/>
          <c:showPercent val="0"/>
          <c:showBubbleSize val="0"/>
        </c:dLbls>
        <c:axId val="113302912"/>
        <c:axId val="120996992"/>
      </c:scatterChart>
      <c:valAx>
        <c:axId val="113302912"/>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0996992"/>
        <c:crossesAt val="3"/>
        <c:crossBetween val="midCat"/>
        <c:majorUnit val="1"/>
      </c:valAx>
      <c:valAx>
        <c:axId val="120996992"/>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302912"/>
        <c:crossesAt val="0"/>
        <c:crossBetween val="midCat"/>
        <c:majorUnit val="0.1"/>
      </c:valAx>
      <c:spPr>
        <a:gradFill flip="none" rotWithShape="1">
          <a:gsLst>
            <a:gs pos="50000">
              <a:schemeClr val="accent2">
                <a:lumMod val="63000"/>
                <a:lumOff val="37000"/>
              </a:schemeClr>
            </a:gs>
            <a:gs pos="100000">
              <a:schemeClr val="accent4">
                <a:lumMod val="20000"/>
                <a:lumOff val="80000"/>
              </a:schemeClr>
            </a:gs>
            <a:gs pos="25000">
              <a:srgbClr val="FA533D"/>
            </a:gs>
            <a:gs pos="79000">
              <a:schemeClr val="accent4">
                <a:lumMod val="40000"/>
                <a:lumOff val="60000"/>
              </a:schemeClr>
            </a:gs>
            <a:gs pos="0">
              <a:srgbClr val="FF0000"/>
            </a:gs>
          </a:gsLst>
          <a:path path="rect">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x-none" sz="1400" b="1"/>
              <a:t>External criteria</a:t>
            </a:r>
          </a:p>
        </c:rich>
      </c:tx>
      <c:layout>
        <c:manualLayout>
          <c:xMode val="edge"/>
          <c:yMode val="edge"/>
          <c:x val="0.37629171140875928"/>
          <c:y val="3.02104538724900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F8AF-4AF8-8FBF-5A0E5299AD71}"/>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F8AF-4AF8-8FBF-5A0E5299AD71}"/>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8AF-4AF8-8FBF-5A0E5299AD71}"/>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8AF-4AF8-8FBF-5A0E5299AD71}"/>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F8AF-4AF8-8FBF-5A0E5299AD71}"/>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8AF-4AF8-8FBF-5A0E5299AD71}"/>
              </c:ext>
            </c:extLst>
          </c:dPt>
          <c:dLbls>
            <c:dLbl>
              <c:idx val="0"/>
              <c:layout>
                <c:manualLayout>
                  <c:x val="1.894947399520007E-2"/>
                  <c:y val="3.364894342720382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8AF-4AF8-8FBF-5A0E5299AD71}"/>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F8AF-4AF8-8FBF-5A0E5299AD71}"/>
            </c:ext>
          </c:extLst>
        </c:ser>
        <c:ser>
          <c:idx val="3"/>
          <c:order val="3"/>
          <c:tx>
            <c:strRef>
              <c:f>SummaryMatrix!$A$114</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F8AF-4AF8-8FBF-5A0E5299AD71}"/>
              </c:ext>
            </c:extLst>
          </c:dPt>
          <c:dLbls>
            <c:dLbl>
              <c:idx val="0"/>
              <c:layout>
                <c:manualLayout>
                  <c:x val="8.1228568236687681E-3"/>
                  <c:y val="-9.1809706671601744E-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F8AF-4AF8-8FBF-5A0E5299AD71}"/>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SummaryMatrix!$C$114</c:f>
              <c:numCache>
                <c:formatCode>General</c:formatCode>
                <c:ptCount val="1"/>
              </c:numCache>
            </c:numRef>
          </c:xVal>
          <c:yVal>
            <c:numRef>
              <c:f>SummaryMatrix!$D$114</c:f>
              <c:numCache>
                <c:formatCode>General</c:formatCode>
                <c:ptCount val="1"/>
              </c:numCache>
            </c:numRef>
          </c:yVal>
          <c:smooth val="0"/>
          <c:extLst>
            <c:ext xmlns:c16="http://schemas.microsoft.com/office/drawing/2014/chart" uri="{C3380CC4-5D6E-409C-BE32-E72D297353CC}">
              <c16:uniqueId val="{0000000B-F8AF-4AF8-8FBF-5A0E5299AD71}"/>
            </c:ext>
          </c:extLst>
        </c:ser>
        <c:ser>
          <c:idx val="4"/>
          <c:order val="4"/>
          <c:tx>
            <c:strRef>
              <c:f>SummaryMatrix!$A$115</c:f>
              <c:strCache>
                <c:ptCount val="1"/>
              </c:strCache>
            </c:strRef>
          </c:tx>
          <c:spPr>
            <a:ln w="19050" cap="rnd">
              <a:solidFill>
                <a:schemeClr val="bg1">
                  <a:lumMod val="65000"/>
                </a:schemeClr>
              </a:solidFill>
              <a:round/>
            </a:ln>
            <a:effectLst/>
          </c:spPr>
          <c:marker>
            <c:symbol val="x"/>
            <c:size val="8"/>
            <c:spPr>
              <a:solidFill>
                <a:schemeClr val="accent5">
                  <a:lumMod val="50000"/>
                </a:schemeClr>
              </a:solidFill>
              <a:ln w="9525">
                <a:solidFill>
                  <a:schemeClr val="accent5"/>
                </a:solidFill>
              </a:ln>
              <a:effectLst/>
            </c:spPr>
          </c:marker>
          <c:dLbls>
            <c:dLbl>
              <c:idx val="0"/>
              <c:layout>
                <c:manualLayout>
                  <c:x val="-0.11642761447258568"/>
                  <c:y val="-9.4870030227321794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7436-459E-980E-BF437D3E0CBF}"/>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8-7436-459E-980E-BF437D3E0CBF}"/>
            </c:ext>
          </c:extLst>
        </c:ser>
        <c:dLbls>
          <c:dLblPos val="t"/>
          <c:showLegendKey val="0"/>
          <c:showVal val="1"/>
          <c:showCatName val="0"/>
          <c:showSerName val="0"/>
          <c:showPercent val="0"/>
          <c:showBubbleSize val="0"/>
        </c:dLbls>
        <c:axId val="113483136"/>
        <c:axId val="113505408"/>
      </c:scatterChart>
      <c:valAx>
        <c:axId val="113483136"/>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505408"/>
        <c:crossesAt val="3"/>
        <c:crossBetween val="midCat"/>
        <c:majorUnit val="1"/>
      </c:valAx>
      <c:valAx>
        <c:axId val="113505408"/>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Opportunities</a:t>
                </a:r>
              </a:p>
            </c:rich>
          </c:tx>
          <c:layout>
            <c:manualLayout>
              <c:xMode val="edge"/>
              <c:yMode val="edge"/>
              <c:x val="2.4769216766244576E-4"/>
              <c:y val="0.33433023343649193"/>
            </c:manualLayout>
          </c:layout>
          <c:overlay val="0"/>
          <c:spPr>
            <a:noFill/>
            <a:ln>
              <a:noFill/>
            </a:ln>
            <a:effectLst/>
          </c:spPr>
          <c:txPr>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48313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860D-4B64-817E-1FB3697BFEDD}"/>
              </c:ext>
            </c:extLst>
          </c:dPt>
          <c:dLbls>
            <c:dLbl>
              <c:idx val="0"/>
              <c:layout>
                <c:manualLayout>
                  <c:x val="-0.11030975002045214"/>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60D-4B64-817E-1FB3697BFEDD}"/>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860D-4B64-817E-1FB3697BFEDD}"/>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860D-4B64-817E-1FB3697BFEDD}"/>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860D-4B64-817E-1FB3697BFEDD}"/>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860D-4B64-817E-1FB3697BFEDD}"/>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860D-4B64-817E-1FB3697BFEDD}"/>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860D-4B64-817E-1FB3697BFEDD}"/>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860D-4B64-817E-1FB3697BFEDD}"/>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860D-4B64-817E-1FB3697BFEDD}"/>
            </c:ext>
          </c:extLst>
        </c:ser>
        <c:dLbls>
          <c:dLblPos val="t"/>
          <c:showLegendKey val="0"/>
          <c:showVal val="1"/>
          <c:showCatName val="0"/>
          <c:showSerName val="0"/>
          <c:showPercent val="0"/>
          <c:showBubbleSize val="0"/>
        </c:dLbls>
        <c:axId val="113578752"/>
        <c:axId val="113580288"/>
      </c:scatterChart>
      <c:valAx>
        <c:axId val="113578752"/>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580288"/>
        <c:crossesAt val="3"/>
        <c:crossBetween val="midCat"/>
        <c:majorUnit val="1"/>
      </c:valAx>
      <c:valAx>
        <c:axId val="113580288"/>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578752"/>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x-none" sz="1400" b="1"/>
              <a:t>Internal criteria</a:t>
            </a:r>
          </a:p>
        </c:rich>
      </c:tx>
      <c:layout>
        <c:manualLayout>
          <c:xMode val="edge"/>
          <c:yMode val="edge"/>
          <c:x val="0.30784116284777313"/>
          <c:y val="1.5251731570102137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9A12-4F05-BCA4-7C6E9CB6B6A6}"/>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9A12-4F05-BCA4-7C6E9CB6B6A6}"/>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9A12-4F05-BCA4-7C6E9CB6B6A6}"/>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9A12-4F05-BCA4-7C6E9CB6B6A6}"/>
              </c:ext>
            </c:extLst>
          </c:dPt>
          <c:dLbls>
            <c:dLbl>
              <c:idx val="0"/>
              <c:layout>
                <c:manualLayout>
                  <c:x val="2.5660521005561061E-2"/>
                  <c:y val="1.053477460663089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9A12-4F05-BCA4-7C6E9CB6B6A6}"/>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9A12-4F05-BCA4-7C6E9CB6B6A6}"/>
            </c:ext>
          </c:extLst>
        </c:ser>
        <c:ser>
          <c:idx val="2"/>
          <c:order val="2"/>
          <c:tx>
            <c:strRef>
              <c:f>SummaryMatrix!$H$113</c:f>
              <c:strCache>
                <c:ptCount val="1"/>
                <c:pt idx="0">
                  <c:v>Reuse potential</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9A12-4F05-BCA4-7C6E9CB6B6A6}"/>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9A12-4F05-BCA4-7C6E9CB6B6A6}"/>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9A12-4F05-BCA4-7C6E9CB6B6A6}"/>
              </c:ext>
            </c:extLst>
          </c:dPt>
          <c:dLbls>
            <c:dLbl>
              <c:idx val="0"/>
              <c:layout>
                <c:manualLayout>
                  <c:x val="-0.16931263956627532"/>
                  <c:y val="-2.4536246991963821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9A12-4F05-BCA4-7C6E9CB6B6A6}"/>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9A12-4F05-BCA4-7C6E9CB6B6A6}"/>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9A12-4F05-BCA4-7C6E9CB6B6A6}"/>
              </c:ext>
            </c:extLst>
          </c:dPt>
          <c:dLbls>
            <c:dLbl>
              <c:idx val="0"/>
              <c:layout>
                <c:manualLayout>
                  <c:x val="-0.2309652982873926"/>
                  <c:y val="-3.4579568136454367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9A12-4F05-BCA4-7C6E9CB6B6A6}"/>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9A12-4F05-BCA4-7C6E9CB6B6A6}"/>
              </c:ext>
            </c:extLst>
          </c:dPt>
          <c:dLbls>
            <c:dLbl>
              <c:idx val="0"/>
              <c:layout>
                <c:manualLayout>
                  <c:x val="-0.22576934586078623"/>
                  <c:y val="-2.629836431034035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9A12-4F05-BCA4-7C6E9CB6B6A6}"/>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star"/>
            <c:size val="8"/>
            <c:spPr>
              <a:solidFill>
                <a:schemeClr val="tx1"/>
              </a:solidFill>
              <a:ln w="9525">
                <a:solidFill>
                  <a:schemeClr val="accent1">
                    <a:lumMod val="6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9A12-4F05-BCA4-7C6E9CB6B6A6}"/>
              </c:ext>
            </c:extLst>
          </c:dPt>
          <c:dLbls>
            <c:dLbl>
              <c:idx val="0"/>
              <c:layout>
                <c:manualLayout>
                  <c:x val="-0.17700866863746967"/>
                  <c:y val="-1.752589070854566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9A12-4F05-BCA4-7C6E9CB6B6A6}"/>
            </c:ext>
          </c:extLst>
        </c:ser>
        <c:dLbls>
          <c:showLegendKey val="0"/>
          <c:showVal val="0"/>
          <c:showCatName val="0"/>
          <c:showSerName val="0"/>
          <c:showPercent val="0"/>
          <c:showBubbleSize val="0"/>
        </c:dLbls>
        <c:axId val="121061760"/>
        <c:axId val="121063296"/>
      </c:scatterChart>
      <c:valAx>
        <c:axId val="121061760"/>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063296"/>
        <c:crossesAt val="3"/>
        <c:crossBetween val="midCat"/>
        <c:majorUnit val="1"/>
      </c:valAx>
      <c:valAx>
        <c:axId val="121063296"/>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Stremgths</a:t>
                </a:r>
              </a:p>
            </c:rich>
          </c:tx>
          <c:layout>
            <c:manualLayout>
              <c:xMode val="edge"/>
              <c:yMode val="edge"/>
              <c:x val="0.94743100731342678"/>
              <c:y val="0.32598151623880894"/>
            </c:manualLayout>
          </c:layout>
          <c:overlay val="0"/>
          <c:spPr>
            <a:noFill/>
            <a:ln>
              <a:noFill/>
            </a:ln>
            <a:effectLst/>
          </c:spPr>
          <c:txPr>
            <a:bodyPr rot="540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061760"/>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8BFF-4109-9F25-B21ED07698C4}"/>
              </c:ext>
            </c:extLst>
          </c:dPt>
          <c:dLbls>
            <c:dLbl>
              <c:idx val="0"/>
              <c:layout>
                <c:manualLayout>
                  <c:x val="1.7960321629156735E-2"/>
                  <c:y val="4.9100315423961031E-2"/>
                </c:manualLayout>
              </c:layout>
              <c:spPr>
                <a:solidFill>
                  <a:srgbClr val="DDE5FF"/>
                </a:solidFill>
                <a:ln>
                  <a:solidFill>
                    <a:sysClr val="windowText" lastClr="000000"/>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8BFF-4109-9F25-B21ED07698C4}"/>
                </c:ext>
              </c:extLst>
            </c:dLbl>
            <c:spPr>
              <a:solidFill>
                <a:srgbClr val="DDE5FF"/>
              </a:solidFill>
              <a:ln>
                <a:solidFill>
                  <a:schemeClr val="tx1"/>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8BFF-4109-9F25-B21ED07698C4}"/>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8BFF-4109-9F25-B21ED07698C4}"/>
              </c:ext>
            </c:extLst>
          </c:dPt>
          <c:dLbls>
            <c:dLbl>
              <c:idx val="0"/>
              <c:layout>
                <c:manualLayout>
                  <c:x val="5.1321042011122121E-3"/>
                  <c:y val="-8.7563779740599132E-2"/>
                </c:manualLayout>
              </c:layout>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4-8BFF-4109-9F25-B21ED07698C4}"/>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8BFF-4109-9F25-B21ED07698C4}"/>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8BFF-4109-9F25-B21ED07698C4}"/>
              </c:ext>
            </c:extLst>
          </c:dPt>
          <c:dLbls>
            <c:dLbl>
              <c:idx val="0"/>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8BFF-4109-9F25-B21ED07698C4}"/>
            </c:ext>
          </c:extLst>
        </c:ser>
        <c:ser>
          <c:idx val="3"/>
          <c:order val="3"/>
          <c:tx>
            <c:strRef>
              <c:f>SummaryMatrix!$H$126</c:f>
              <c:strCache>
                <c:ptCount val="1"/>
                <c:pt idx="0">
                  <c:v>Domain knowledge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8BFF-4109-9F25-B21ED07698C4}"/>
              </c:ext>
            </c:extLst>
          </c:dPt>
          <c:dLbls>
            <c:dLbl>
              <c:idx val="0"/>
              <c:layout>
                <c:manualLayout>
                  <c:x val="0.10519762945278231"/>
                  <c:y val="-7.3158432430029214E-3"/>
                </c:manualLayout>
              </c:layout>
              <c:spPr>
                <a:solidFill>
                  <a:srgbClr val="DDE5FF"/>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8BFF-4109-9F25-B21ED07698C4}"/>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8BFF-4109-9F25-B21ED07698C4}"/>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tar"/>
            <c:size val="5"/>
            <c:spPr>
              <a:solidFill>
                <a:schemeClr val="accent5"/>
              </a:solidFill>
              <a:ln w="9525">
                <a:solidFill>
                  <a:schemeClr val="accent5"/>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8BFF-4109-9F25-B21ED07698C4}"/>
              </c:ext>
            </c:extLst>
          </c:dPt>
          <c:dLbls>
            <c:dLbl>
              <c:idx val="0"/>
              <c:layout>
                <c:manualLayout>
                  <c:x val="-0.17705759493837139"/>
                  <c:y val="0.10315716997097295"/>
                </c:manualLayout>
              </c:layout>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8BFF-4109-9F25-B21ED07698C4}"/>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8BFF-4109-9F25-B21ED07698C4}"/>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8BFF-4109-9F25-B21ED07698C4}"/>
              </c:ext>
            </c:extLst>
          </c:dPt>
          <c:dLbls>
            <c:dLbl>
              <c:idx val="0"/>
              <c:layout>
                <c:manualLayout>
                  <c:x val="7.7141183580418495E-3"/>
                  <c:y val="-4.0514236900560781E-2"/>
                </c:manualLayout>
              </c:layout>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8BFF-4109-9F25-B21ED07698C4}"/>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8BFF-4109-9F25-B21ED07698C4}"/>
              </c:ext>
            </c:extLst>
          </c:dPt>
          <c:dLbls>
            <c:dLbl>
              <c:idx val="0"/>
              <c:layout>
                <c:manualLayout>
                  <c:x val="-0.2770853365882458"/>
                  <c:y val="-2.5993342489925887E-2"/>
                </c:manualLayout>
              </c:layout>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8BFF-4109-9F25-B21ED07698C4}"/>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star"/>
            <c:size val="5"/>
            <c:spPr>
              <a:solidFill>
                <a:schemeClr val="accent2">
                  <a:lumMod val="60000"/>
                </a:schemeClr>
              </a:solidFill>
              <a:ln w="9525">
                <a:solidFill>
                  <a:schemeClr val="accent2">
                    <a:lumMod val="6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8BFF-4109-9F25-B21ED07698C4}"/>
              </c:ext>
            </c:extLst>
          </c:dPt>
          <c:dLbls>
            <c:dLbl>
              <c:idx val="0"/>
              <c:layout>
                <c:manualLayout>
                  <c:x val="3.0792625206673269E-2"/>
                  <c:y val="9.0583220421308897E-3"/>
                </c:manualLayout>
              </c:layout>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8BFF-4109-9F25-B21ED07698C4}"/>
            </c:ext>
          </c:extLst>
        </c:ser>
        <c:dLbls>
          <c:dLblPos val="t"/>
          <c:showLegendKey val="0"/>
          <c:showVal val="1"/>
          <c:showCatName val="0"/>
          <c:showSerName val="0"/>
          <c:showPercent val="0"/>
          <c:showBubbleSize val="0"/>
        </c:dLbls>
        <c:axId val="121243520"/>
        <c:axId val="121245056"/>
      </c:scatterChart>
      <c:valAx>
        <c:axId val="121243520"/>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245056"/>
        <c:crossesAt val="3"/>
        <c:crossBetween val="midCat"/>
        <c:majorUnit val="1"/>
      </c:valAx>
      <c:valAx>
        <c:axId val="121245056"/>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Weaknesses</a:t>
                </a:r>
              </a:p>
            </c:rich>
          </c:tx>
          <c:layout>
            <c:manualLayout>
              <c:xMode val="edge"/>
              <c:yMode val="edge"/>
              <c:x val="0.94404623273317101"/>
              <c:y val="0.36453852673774728"/>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243520"/>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792B-43FC-BC37-C12CB010BA71}"/>
              </c:ext>
            </c:extLst>
          </c:dPt>
          <c:dLbls>
            <c:dLbl>
              <c:idx val="0"/>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792B-43FC-BC37-C12CB010BA71}"/>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792B-43FC-BC37-C12CB010BA71}"/>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792B-43FC-BC37-C12CB010BA71}"/>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792B-43FC-BC37-C12CB010BA71}"/>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792B-43FC-BC37-C12CB010BA71}"/>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792B-43FC-BC37-C12CB010BA71}"/>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792B-43FC-BC37-C12CB010BA71}"/>
            </c:ext>
          </c:extLst>
        </c:ser>
        <c:ser>
          <c:idx val="3"/>
          <c:order val="3"/>
          <c:tx>
            <c:strRef>
              <c:f>SummaryMatrix!$A$114</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792B-43FC-BC37-C12CB010BA71}"/>
              </c:ext>
            </c:extLst>
          </c:dPt>
          <c:dLbls>
            <c:dLbl>
              <c:idx val="0"/>
              <c:layout>
                <c:manualLayout>
                  <c:x val="8.1228568236687681E-3"/>
                  <c:y val="-9.1809706671601744E-3"/>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792B-43FC-BC37-C12CB010BA71}"/>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SummaryMatrix!$C$114</c:f>
              <c:numCache>
                <c:formatCode>General</c:formatCode>
                <c:ptCount val="1"/>
              </c:numCache>
            </c:numRef>
          </c:xVal>
          <c:yVal>
            <c:numRef>
              <c:f>SummaryMatrix!$D$114</c:f>
              <c:numCache>
                <c:formatCode>General</c:formatCode>
                <c:ptCount val="1"/>
              </c:numCache>
            </c:numRef>
          </c:yVal>
          <c:smooth val="0"/>
          <c:extLst>
            <c:ext xmlns:c16="http://schemas.microsoft.com/office/drawing/2014/chart" uri="{C3380CC4-5D6E-409C-BE32-E72D297353CC}">
              <c16:uniqueId val="{0000000B-792B-43FC-BC37-C12CB010BA71}"/>
            </c:ext>
          </c:extLst>
        </c:ser>
        <c:ser>
          <c:idx val="4"/>
          <c:order val="4"/>
          <c:tx>
            <c:strRef>
              <c:f>SummaryMatrix!$A$115</c:f>
              <c:strCache>
                <c:ptCount val="1"/>
              </c:strCache>
            </c:strRef>
          </c:tx>
          <c:spPr>
            <a:ln w="19050" cap="rnd">
              <a:solidFill>
                <a:schemeClr val="bg1">
                  <a:lumMod val="65000"/>
                </a:schemeClr>
              </a:solidFill>
              <a:round/>
            </a:ln>
            <a:effectLst/>
          </c:spPr>
          <c:marker>
            <c:symbol val="x"/>
            <c:size val="8"/>
            <c:spPr>
              <a:solidFill>
                <a:schemeClr val="accent5">
                  <a:lumMod val="50000"/>
                </a:schemeClr>
              </a:solidFill>
              <a:ln w="9525">
                <a:solidFill>
                  <a:schemeClr val="accent5"/>
                </a:solidFill>
              </a:ln>
              <a:effectLst/>
            </c:spPr>
          </c:marker>
          <c:dLbls>
            <c:dLbl>
              <c:idx val="0"/>
              <c:layout>
                <c:manualLayout>
                  <c:x val="-0.11642761447258568"/>
                  <c:y val="-9.4870030227321794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792B-43FC-BC37-C12CB010BA71}"/>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D-792B-43FC-BC37-C12CB010BA71}"/>
            </c:ext>
          </c:extLst>
        </c:ser>
        <c:dLbls>
          <c:dLblPos val="t"/>
          <c:showLegendKey val="0"/>
          <c:showVal val="1"/>
          <c:showCatName val="0"/>
          <c:showSerName val="0"/>
          <c:showPercent val="0"/>
          <c:showBubbleSize val="0"/>
        </c:dLbls>
        <c:axId val="121722368"/>
        <c:axId val="121723904"/>
      </c:scatterChart>
      <c:valAx>
        <c:axId val="121722368"/>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723904"/>
        <c:crossesAt val="3"/>
        <c:crossBetween val="midCat"/>
        <c:majorUnit val="1"/>
      </c:valAx>
      <c:valAx>
        <c:axId val="121723904"/>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722368"/>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29A-4A86-9FCD-55DC414B94DD}"/>
              </c:ext>
            </c:extLst>
          </c:dPt>
          <c:dLbls>
            <c:dLbl>
              <c:idx val="0"/>
              <c:layout>
                <c:manualLayout>
                  <c:x val="-0.11030975002045214"/>
                  <c:y val="0"/>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29A-4A86-9FCD-55DC414B94DD}"/>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B29A-4A86-9FCD-55DC414B94DD}"/>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B29A-4A86-9FCD-55DC414B94DD}"/>
              </c:ext>
            </c:extLst>
          </c:dPt>
          <c:dLbls>
            <c:dLbl>
              <c:idx val="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B29A-4A86-9FCD-55DC414B94DD}"/>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B29A-4A86-9FCD-55DC414B94DD}"/>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B29A-4A86-9FCD-55DC414B94DD}"/>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B29A-4A86-9FCD-55DC414B94DD}"/>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B29A-4A86-9FCD-55DC414B94DD}"/>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B29A-4A86-9FCD-55DC414B94DD}"/>
            </c:ext>
          </c:extLst>
        </c:ser>
        <c:dLbls>
          <c:dLblPos val="t"/>
          <c:showLegendKey val="0"/>
          <c:showVal val="1"/>
          <c:showCatName val="0"/>
          <c:showSerName val="0"/>
          <c:showPercent val="0"/>
          <c:showBubbleSize val="0"/>
        </c:dLbls>
        <c:axId val="121883264"/>
        <c:axId val="121770368"/>
      </c:scatterChart>
      <c:valAx>
        <c:axId val="121883264"/>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770368"/>
        <c:crossesAt val="3"/>
        <c:crossBetween val="midCat"/>
        <c:majorUnit val="1"/>
      </c:valAx>
      <c:valAx>
        <c:axId val="121770368"/>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883264"/>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C178-41C2-B59C-CFAA118A797D}"/>
              </c:ext>
            </c:extLst>
          </c:dPt>
          <c:dLbls>
            <c:dLbl>
              <c:idx val="0"/>
              <c:spPr>
                <a:solidFill>
                  <a:srgbClr val="BFAFE7"/>
                </a:solidFill>
                <a:ln>
                  <a:solidFill>
                    <a:sysClr val="windowText" lastClr="000000"/>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C178-41C2-B59C-CFAA118A797D}"/>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C178-41C2-B59C-CFAA118A797D}"/>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C178-41C2-B59C-CFAA118A797D}"/>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4-C178-41C2-B59C-CFAA118A797D}"/>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C178-41C2-B59C-CFAA118A797D}"/>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C178-41C2-B59C-CFAA118A797D}"/>
              </c:ext>
            </c:extLst>
          </c:dPt>
          <c:dLbls>
            <c:dLbl>
              <c:idx val="0"/>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C178-41C2-B59C-CFAA118A797D}"/>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C178-41C2-B59C-CFAA118A797D}"/>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C178-41C2-B59C-CFAA118A797D}"/>
              </c:ext>
            </c:extLst>
          </c:dPt>
          <c:dLbls>
            <c:dLbl>
              <c:idx val="0"/>
              <c:spPr>
                <a:solidFill>
                  <a:srgbClr val="BFAFE7"/>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C178-41C2-B59C-CFAA118A797D}"/>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C178-41C2-B59C-CFAA118A797D}"/>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C178-41C2-B59C-CFAA118A797D}"/>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C178-41C2-B59C-CFAA118A797D}"/>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C178-41C2-B59C-CFAA118A797D}"/>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C178-41C2-B59C-CFAA118A797D}"/>
              </c:ext>
            </c:extLst>
          </c:dPt>
          <c:dLbls>
            <c:dLbl>
              <c:idx val="0"/>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C178-41C2-B59C-CFAA118A797D}"/>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C178-41C2-B59C-CFAA118A797D}"/>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C178-41C2-B59C-CFAA118A797D}"/>
              </c:ext>
            </c:extLst>
          </c:dPt>
          <c:dLbls>
            <c:dLbl>
              <c:idx val="0"/>
              <c:layout>
                <c:manualLayout>
                  <c:x val="-0.17444332561373821"/>
                  <c:y val="-3.505178141709115E-2"/>
                </c:manualLayout>
              </c:layout>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C178-41C2-B59C-CFAA118A797D}"/>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C178-41C2-B59C-CFAA118A797D}"/>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C178-41C2-B59C-CFAA118A797D}"/>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C178-41C2-B59C-CFAA118A797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C178-41C2-B59C-CFAA118A797D}"/>
            </c:ext>
          </c:extLst>
        </c:ser>
        <c:dLbls>
          <c:dLblPos val="t"/>
          <c:showLegendKey val="0"/>
          <c:showVal val="1"/>
          <c:showCatName val="0"/>
          <c:showSerName val="0"/>
          <c:showPercent val="0"/>
          <c:showBubbleSize val="0"/>
        </c:dLbls>
        <c:axId val="121479936"/>
        <c:axId val="121481472"/>
      </c:scatterChart>
      <c:valAx>
        <c:axId val="121479936"/>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481472"/>
        <c:crossesAt val="3"/>
        <c:crossBetween val="midCat"/>
        <c:majorUnit val="1"/>
      </c:valAx>
      <c:valAx>
        <c:axId val="121481472"/>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479936"/>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4B17-489E-A14D-5D1FBA994ACF}"/>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4B17-489E-A14D-5D1FBA994ACF}"/>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4B17-489E-A14D-5D1FBA994ACF}"/>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4B17-489E-A14D-5D1FBA994ACF}"/>
              </c:ext>
            </c:extLst>
          </c:dPt>
          <c:dLbls>
            <c:dLbl>
              <c:idx val="0"/>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4B17-489E-A14D-5D1FBA994ACF}"/>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4B17-489E-A14D-5D1FBA994ACF}"/>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4B17-489E-A14D-5D1FBA994ACF}"/>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4B17-489E-A14D-5D1FBA994ACF}"/>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4B17-489E-A14D-5D1FBA994ACF}"/>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4B17-489E-A14D-5D1FBA994ACF}"/>
              </c:ext>
            </c:extLst>
          </c:dPt>
          <c:dLbls>
            <c:dLbl>
              <c:idx val="0"/>
              <c:layout>
                <c:manualLayout>
                  <c:x val="-0.16931263956627532"/>
                  <c:y val="-2.4536246991963821E-2"/>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4B17-489E-A14D-5D1FBA994ACF}"/>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4B17-489E-A14D-5D1FBA994ACF}"/>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4B17-489E-A14D-5D1FBA994ACF}"/>
              </c:ext>
            </c:extLst>
          </c:dPt>
          <c:dLbls>
            <c:dLbl>
              <c:idx val="0"/>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4B17-489E-A14D-5D1FBA994ACF}"/>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4B17-489E-A14D-5D1FBA994ACF}"/>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4B17-489E-A14D-5D1FBA994ACF}"/>
              </c:ext>
            </c:extLst>
          </c:dPt>
          <c:dLbls>
            <c:dLbl>
              <c:idx val="0"/>
              <c:layout>
                <c:manualLayout>
                  <c:x val="-0.15648592444761811"/>
                  <c:y val="-2.1031068850254714E-2"/>
                </c:manualLayout>
              </c:layout>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0-4B17-489E-A14D-5D1FBA994AC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4B17-489E-A14D-5D1FBA994ACF}"/>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4B17-489E-A14D-5D1FBA994ACF}"/>
              </c:ext>
            </c:extLst>
          </c:dPt>
          <c:dLbls>
            <c:dLbl>
              <c:idx val="0"/>
              <c:layout>
                <c:manualLayout>
                  <c:x val="-0.17700866863746967"/>
                  <c:y val="-1.7525890708545669E-2"/>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4B17-489E-A14D-5D1FBA994ACF}"/>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4B17-489E-A14D-5D1FBA994ACF}"/>
            </c:ext>
          </c:extLst>
        </c:ser>
        <c:dLbls>
          <c:showLegendKey val="0"/>
          <c:showVal val="0"/>
          <c:showCatName val="0"/>
          <c:showSerName val="0"/>
          <c:showPercent val="0"/>
          <c:showBubbleSize val="0"/>
        </c:dLbls>
        <c:axId val="121673216"/>
        <c:axId val="121674752"/>
      </c:scatterChart>
      <c:valAx>
        <c:axId val="121673216"/>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674752"/>
        <c:crossesAt val="3"/>
        <c:crossBetween val="midCat"/>
        <c:majorUnit val="1"/>
      </c:valAx>
      <c:valAx>
        <c:axId val="121674752"/>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67321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x-none" sz="1400" b="1"/>
              <a:t>External criteria</a:t>
            </a:r>
          </a:p>
        </c:rich>
      </c:tx>
      <c:layout>
        <c:manualLayout>
          <c:xMode val="edge"/>
          <c:yMode val="edge"/>
          <c:x val="0.37629172424656926"/>
          <c:y val="6.081363620597292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3950-414F-8595-E242EFE1FA94}"/>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3950-414F-8595-E242EFE1FA94}"/>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3950-414F-8595-E242EFE1FA94}"/>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950-414F-8595-E242EFE1FA94}"/>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3950-414F-8595-E242EFE1FA94}"/>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3950-414F-8595-E242EFE1FA94}"/>
              </c:ext>
            </c:extLst>
          </c:dPt>
          <c:dLbls>
            <c:dLbl>
              <c:idx val="0"/>
              <c:layout>
                <c:manualLayout>
                  <c:x val="1.894947399520007E-2"/>
                  <c:y val="3.364894342720382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950-414F-8595-E242EFE1FA94}"/>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3950-414F-8595-E242EFE1FA94}"/>
            </c:ext>
          </c:extLst>
        </c:ser>
        <c:ser>
          <c:idx val="3"/>
          <c:order val="3"/>
          <c:tx>
            <c:strRef>
              <c:f>SummaryMatrix!$A$114</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3950-414F-8595-E242EFE1FA94}"/>
              </c:ext>
            </c:extLst>
          </c:dPt>
          <c:dLbls>
            <c:dLbl>
              <c:idx val="0"/>
              <c:layout>
                <c:manualLayout>
                  <c:x val="8.1228568236687681E-3"/>
                  <c:y val="-9.1809706671601744E-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3950-414F-8595-E242EFE1FA9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SummaryMatrix!$C$114</c:f>
              <c:numCache>
                <c:formatCode>General</c:formatCode>
                <c:ptCount val="1"/>
              </c:numCache>
            </c:numRef>
          </c:xVal>
          <c:yVal>
            <c:numRef>
              <c:f>SummaryMatrix!$D$114</c:f>
              <c:numCache>
                <c:formatCode>General</c:formatCode>
                <c:ptCount val="1"/>
              </c:numCache>
            </c:numRef>
          </c:yVal>
          <c:smooth val="0"/>
          <c:extLst>
            <c:ext xmlns:c16="http://schemas.microsoft.com/office/drawing/2014/chart" uri="{C3380CC4-5D6E-409C-BE32-E72D297353CC}">
              <c16:uniqueId val="{0000000B-3950-414F-8595-E242EFE1FA94}"/>
            </c:ext>
          </c:extLst>
        </c:ser>
        <c:ser>
          <c:idx val="4"/>
          <c:order val="4"/>
          <c:tx>
            <c:strRef>
              <c:f>SummaryMatrix!$A$115</c:f>
              <c:strCache>
                <c:ptCount val="1"/>
              </c:strCache>
            </c:strRef>
          </c:tx>
          <c:spPr>
            <a:ln w="19050" cap="rnd">
              <a:solidFill>
                <a:schemeClr val="bg1">
                  <a:lumMod val="65000"/>
                </a:schemeClr>
              </a:solidFill>
              <a:round/>
            </a:ln>
            <a:effectLst/>
          </c:spPr>
          <c:marker>
            <c:symbol val="x"/>
            <c:size val="8"/>
            <c:spPr>
              <a:solidFill>
                <a:schemeClr val="accent5">
                  <a:lumMod val="50000"/>
                </a:schemeClr>
              </a:solidFill>
              <a:ln w="9525">
                <a:solidFill>
                  <a:schemeClr val="accent5"/>
                </a:solidFill>
              </a:ln>
              <a:effectLst/>
            </c:spPr>
          </c:marker>
          <c:dLbls>
            <c:dLbl>
              <c:idx val="0"/>
              <c:layout>
                <c:manualLayout>
                  <c:x val="-0.11642761447258568"/>
                  <c:y val="-9.4870030227321794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3950-414F-8595-E242EFE1FA9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D-3950-414F-8595-E242EFE1FA94}"/>
            </c:ext>
          </c:extLst>
        </c:ser>
        <c:dLbls>
          <c:dLblPos val="t"/>
          <c:showLegendKey val="0"/>
          <c:showVal val="1"/>
          <c:showCatName val="0"/>
          <c:showSerName val="0"/>
          <c:showPercent val="0"/>
          <c:showBubbleSize val="0"/>
        </c:dLbls>
        <c:axId val="122435072"/>
        <c:axId val="122436992"/>
      </c:scatterChart>
      <c:valAx>
        <c:axId val="122435072"/>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436992"/>
        <c:crossesAt val="3"/>
        <c:crossBetween val="midCat"/>
        <c:majorUnit val="1"/>
        <c:dispUnits>
          <c:builtInUnit val="trillions"/>
          <c:dispUnitsLbl>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dispUnitsLbl>
        </c:dispUnits>
      </c:valAx>
      <c:valAx>
        <c:axId val="122436992"/>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435072"/>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4093-444E-BE12-335BCBB9AC12}"/>
              </c:ext>
            </c:extLst>
          </c:dPt>
          <c:dLbls>
            <c:dLbl>
              <c:idx val="0"/>
              <c:layout>
                <c:manualLayout>
                  <c:x val="-0.11030975002045214"/>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093-444E-BE12-335BCBB9AC12}"/>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4093-444E-BE12-335BCBB9AC12}"/>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4093-444E-BE12-335BCBB9AC12}"/>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93-444E-BE12-335BCBB9AC12}"/>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4093-444E-BE12-335BCBB9AC12}"/>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4093-444E-BE12-335BCBB9AC12}"/>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4093-444E-BE12-335BCBB9AC12}"/>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4093-444E-BE12-335BCBB9AC12}"/>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4093-444E-BE12-335BCBB9AC12}"/>
            </c:ext>
          </c:extLst>
        </c:ser>
        <c:dLbls>
          <c:dLblPos val="t"/>
          <c:showLegendKey val="0"/>
          <c:showVal val="1"/>
          <c:showCatName val="0"/>
          <c:showSerName val="0"/>
          <c:showPercent val="0"/>
          <c:showBubbleSize val="0"/>
        </c:dLbls>
        <c:axId val="122518528"/>
        <c:axId val="122536704"/>
      </c:scatterChart>
      <c:valAx>
        <c:axId val="122518528"/>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536704"/>
        <c:crossesAt val="3"/>
        <c:crossBetween val="midCat"/>
        <c:majorUnit val="1"/>
      </c:valAx>
      <c:valAx>
        <c:axId val="122536704"/>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518528"/>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x-none" sz="1400" b="1"/>
              <a:t>Internal criteria</a:t>
            </a:r>
          </a:p>
        </c:rich>
      </c:tx>
      <c:layout>
        <c:manualLayout>
          <c:xMode val="edge"/>
          <c:yMode val="edge"/>
          <c:x val="0.30784116284777313"/>
          <c:y val="1.5251731570102137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E868-4572-A5B3-9AA94A5539C5}"/>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E868-4572-A5B3-9AA94A5539C5}"/>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E868-4572-A5B3-9AA94A5539C5}"/>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E868-4572-A5B3-9AA94A5539C5}"/>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E868-4572-A5B3-9AA94A5539C5}"/>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E868-4572-A5B3-9AA94A5539C5}"/>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E868-4572-A5B3-9AA94A5539C5}"/>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E868-4572-A5B3-9AA94A5539C5}"/>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E868-4572-A5B3-9AA94A5539C5}"/>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E868-4572-A5B3-9AA94A5539C5}"/>
              </c:ext>
            </c:extLst>
          </c:dPt>
          <c:dLbls>
            <c:dLbl>
              <c:idx val="0"/>
              <c:layout>
                <c:manualLayout>
                  <c:x val="-0.16931263956627532"/>
                  <c:y val="-2.4536246991963821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E868-4572-A5B3-9AA94A5539C5}"/>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E868-4572-A5B3-9AA94A5539C5}"/>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E868-4572-A5B3-9AA94A5539C5}"/>
              </c:ext>
            </c:extLst>
          </c:dPt>
          <c:dLbls>
            <c:dLbl>
              <c:idx val="0"/>
              <c:layout>
                <c:manualLayout>
                  <c:x val="-0.13858745074264928"/>
                  <c:y val="-2.1411146271847377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E868-4572-A5B3-9AA94A5539C5}"/>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E868-4572-A5B3-9AA94A5539C5}"/>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E868-4572-A5B3-9AA94A5539C5}"/>
              </c:ext>
            </c:extLst>
          </c:dPt>
          <c:dLbls>
            <c:dLbl>
              <c:idx val="0"/>
              <c:layout>
                <c:manualLayout>
                  <c:x val="-0.15648592444761811"/>
                  <c:y val="-2.1031068850254714E-2"/>
                </c:manualLayout>
              </c:layout>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0-E868-4572-A5B3-9AA94A5539C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E868-4572-A5B3-9AA94A5539C5}"/>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E868-4572-A5B3-9AA94A5539C5}"/>
              </c:ext>
            </c:extLst>
          </c:dPt>
          <c:dLbls>
            <c:dLbl>
              <c:idx val="0"/>
              <c:layout>
                <c:manualLayout>
                  <c:x val="-0.17700866863746967"/>
                  <c:y val="-1.752589070854566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E868-4572-A5B3-9AA94A5539C5}"/>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E868-4572-A5B3-9AA94A5539C5}"/>
            </c:ext>
          </c:extLst>
        </c:ser>
        <c:dLbls>
          <c:showLegendKey val="0"/>
          <c:showVal val="0"/>
          <c:showCatName val="0"/>
          <c:showSerName val="0"/>
          <c:showPercent val="0"/>
          <c:showBubbleSize val="0"/>
        </c:dLbls>
        <c:axId val="122285440"/>
        <c:axId val="122360960"/>
      </c:scatterChart>
      <c:valAx>
        <c:axId val="122285440"/>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360960"/>
        <c:crossesAt val="3"/>
        <c:crossBetween val="midCat"/>
        <c:majorUnit val="1"/>
      </c:valAx>
      <c:valAx>
        <c:axId val="122360960"/>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285440"/>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10EE-4802-9039-4A8E9D5DA7B3}"/>
              </c:ext>
            </c:extLst>
          </c:dPt>
          <c:dLbls>
            <c:dLbl>
              <c:idx val="0"/>
              <c:layout>
                <c:manualLayout>
                  <c:x val="1.7960321629156735E-2"/>
                  <c:y val="4.9100315423961031E-2"/>
                </c:manualLayout>
              </c:layout>
              <c:spPr>
                <a:solidFill>
                  <a:srgbClr val="BFAFE7"/>
                </a:solidFill>
                <a:ln>
                  <a:solidFill>
                    <a:sysClr val="windowText" lastClr="000000"/>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10EE-4802-9039-4A8E9D5DA7B3}"/>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10EE-4802-9039-4A8E9D5DA7B3}"/>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10EE-4802-9039-4A8E9D5DA7B3}"/>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4-10EE-4802-9039-4A8E9D5DA7B3}"/>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10EE-4802-9039-4A8E9D5DA7B3}"/>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10EE-4802-9039-4A8E9D5DA7B3}"/>
              </c:ext>
            </c:extLst>
          </c:dPt>
          <c:dLbls>
            <c:dLbl>
              <c:idx val="0"/>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10EE-4802-9039-4A8E9D5DA7B3}"/>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10EE-4802-9039-4A8E9D5DA7B3}"/>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10EE-4802-9039-4A8E9D5DA7B3}"/>
              </c:ext>
            </c:extLst>
          </c:dPt>
          <c:dLbls>
            <c:dLbl>
              <c:idx val="0"/>
              <c:layout>
                <c:manualLayout>
                  <c:x val="9.2367368378520345E-2"/>
                  <c:y val="-5.2607480811386872E-2"/>
                </c:manualLayout>
              </c:layout>
              <c:spPr>
                <a:solidFill>
                  <a:srgbClr val="BFAFE7"/>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10EE-4802-9039-4A8E9D5DA7B3}"/>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10EE-4802-9039-4A8E9D5DA7B3}"/>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10EE-4802-9039-4A8E9D5DA7B3}"/>
              </c:ext>
            </c:extLst>
          </c:dPt>
          <c:dLbls>
            <c:dLbl>
              <c:idx val="0"/>
              <c:layout>
                <c:manualLayout>
                  <c:x val="0"/>
                  <c:y val="0.11221556433190735"/>
                </c:manualLayout>
              </c:layout>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10EE-4802-9039-4A8E9D5DA7B3}"/>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10EE-4802-9039-4A8E9D5DA7B3}"/>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10EE-4802-9039-4A8E9D5DA7B3}"/>
              </c:ext>
            </c:extLst>
          </c:dPt>
          <c:dLbls>
            <c:dLbl>
              <c:idx val="0"/>
              <c:layout>
                <c:manualLayout>
                  <c:x val="0.107790239466505"/>
                  <c:y val="5.6107782165953642E-2"/>
                </c:manualLayout>
              </c:layout>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10EE-4802-9039-4A8E9D5DA7B3}"/>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10EE-4802-9039-4A8E9D5DA7B3}"/>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10EE-4802-9039-4A8E9D5DA7B3}"/>
              </c:ext>
            </c:extLst>
          </c:dPt>
          <c:dLbls>
            <c:dLbl>
              <c:idx val="0"/>
              <c:layout>
                <c:manualLayout>
                  <c:x val="-0.17444332561373821"/>
                  <c:y val="-3.505178141709115E-2"/>
                </c:manualLayout>
              </c:layout>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10EE-4802-9039-4A8E9D5DA7B3}"/>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10EE-4802-9039-4A8E9D5DA7B3}"/>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10EE-4802-9039-4A8E9D5DA7B3}"/>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10EE-4802-9039-4A8E9D5DA7B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10EE-4802-9039-4A8E9D5DA7B3}"/>
            </c:ext>
          </c:extLst>
        </c:ser>
        <c:dLbls>
          <c:dLblPos val="t"/>
          <c:showLegendKey val="0"/>
          <c:showVal val="1"/>
          <c:showCatName val="0"/>
          <c:showSerName val="0"/>
          <c:showPercent val="0"/>
          <c:showBubbleSize val="0"/>
        </c:dLbls>
        <c:axId val="122586624"/>
        <c:axId val="122588160"/>
      </c:scatterChart>
      <c:valAx>
        <c:axId val="122586624"/>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588160"/>
        <c:crossesAt val="3"/>
        <c:crossBetween val="midCat"/>
        <c:majorUnit val="1"/>
      </c:valAx>
      <c:valAx>
        <c:axId val="122588160"/>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Weaknesses</a:t>
                </a:r>
              </a:p>
            </c:rich>
          </c:tx>
          <c:layout>
            <c:manualLayout>
              <c:xMode val="edge"/>
              <c:yMode val="edge"/>
              <c:x val="0.94404623273317101"/>
              <c:y val="0.36453852673774728"/>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586624"/>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v>Very important</c:v>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SummaryMatrix!$D$290:$D$297</c:f>
            </c:multiLvlStrRef>
          </c:cat>
          <c:val>
            <c:numRef>
              <c:f>SummaryMatrix!$E$295:$E$297</c:f>
            </c:numRef>
          </c:val>
          <c:extLst>
            <c:ext xmlns:c16="http://schemas.microsoft.com/office/drawing/2014/chart" uri="{C3380CC4-5D6E-409C-BE32-E72D297353CC}">
              <c16:uniqueId val="{00000000-EC4A-44CF-AE1D-4FC3DB94C3A9}"/>
            </c:ext>
          </c:extLst>
        </c:ser>
        <c:ser>
          <c:idx val="1"/>
          <c:order val="1"/>
          <c:tx>
            <c:v>Important</c:v>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SummaryMatrix!$D$290:$D$297</c:f>
            </c:multiLvlStrRef>
          </c:cat>
          <c:val>
            <c:numRef>
              <c:f>SummaryMatrix!$E$291:$E$294</c:f>
            </c:numRef>
          </c:val>
          <c:extLst>
            <c:ext xmlns:c16="http://schemas.microsoft.com/office/drawing/2014/chart" uri="{C3380CC4-5D6E-409C-BE32-E72D297353CC}">
              <c16:uniqueId val="{00000001-EC4A-44CF-AE1D-4FC3DB94C3A9}"/>
            </c:ext>
          </c:extLst>
        </c:ser>
        <c:ser>
          <c:idx val="2"/>
          <c:order val="2"/>
          <c:tx>
            <c:v>Desirable</c:v>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SummaryMatrix!$D$290:$D$297</c:f>
            </c:multiLvlStrRef>
          </c:cat>
          <c:val>
            <c:numRef>
              <c:f>SummaryMatrix!$E$290</c:f>
            </c:numRef>
          </c:val>
          <c:extLst>
            <c:ext xmlns:c16="http://schemas.microsoft.com/office/drawing/2014/chart" uri="{C3380CC4-5D6E-409C-BE32-E72D297353CC}">
              <c16:uniqueId val="{00000002-EC4A-44CF-AE1D-4FC3DB94C3A9}"/>
            </c:ext>
          </c:extLst>
        </c:ser>
        <c:ser>
          <c:idx val="3"/>
          <c:order val="3"/>
          <c:tx>
            <c:v>All criteria</c:v>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SummaryMatrix!$D$290:$D$297</c:f>
            </c:multiLvlStrRef>
          </c:cat>
          <c:val>
            <c:numRef>
              <c:f>SummaryMatrix!$B$290:$B$296</c:f>
            </c:numRef>
          </c:val>
          <c:extLst>
            <c:ext xmlns:c16="http://schemas.microsoft.com/office/drawing/2014/chart" uri="{C3380CC4-5D6E-409C-BE32-E72D297353CC}">
              <c16:uniqueId val="{00000003-EC4A-44CF-AE1D-4FC3DB94C3A9}"/>
            </c:ext>
          </c:extLst>
        </c:ser>
        <c:dLbls>
          <c:showLegendKey val="0"/>
          <c:showVal val="0"/>
          <c:showCatName val="0"/>
          <c:showSerName val="0"/>
          <c:showPercent val="0"/>
          <c:showBubbleSize val="0"/>
        </c:dLbls>
        <c:axId val="122710656"/>
        <c:axId val="122712832"/>
      </c:radarChart>
      <c:catAx>
        <c:axId val="12271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2712832"/>
        <c:crosses val="autoZero"/>
        <c:auto val="1"/>
        <c:lblAlgn val="ctr"/>
        <c:lblOffset val="100"/>
        <c:noMultiLvlLbl val="0"/>
      </c:catAx>
      <c:valAx>
        <c:axId val="12271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2710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Product</a:t>
            </a:r>
            <a:r>
              <a:rPr lang="en-US" baseline="0"/>
              <a:t> line feasibility</a:t>
            </a:r>
            <a:endParaRPr lang="en-US"/>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419"/>
        </a:p>
      </c:txPr>
    </c:title>
    <c:autoTitleDeleted val="0"/>
    <c:plotArea>
      <c:layout>
        <c:manualLayout>
          <c:layoutTarget val="inner"/>
          <c:xMode val="edge"/>
          <c:yMode val="edge"/>
          <c:x val="0.23041194775267612"/>
          <c:y val="0.17783329959876282"/>
          <c:w val="0.50616219255711425"/>
          <c:h val="0.80785735472216536"/>
        </c:manualLayout>
      </c:layout>
      <c:radarChart>
        <c:radarStyle val="marker"/>
        <c:varyColors val="0"/>
        <c:ser>
          <c:idx val="0"/>
          <c:order val="0"/>
          <c:tx>
            <c:v>Enterprise</c:v>
          </c:tx>
          <c:spPr>
            <a:ln w="25400" cap="rnd" cmpd="sng" algn="ctr">
              <a:solidFill>
                <a:schemeClr val="accent1"/>
              </a:solidFill>
              <a:prstDash val="sysDot"/>
              <a:round/>
            </a:ln>
            <a:effectLst/>
          </c:spPr>
          <c:marker>
            <c:symbol val="circle"/>
            <c:size val="6"/>
            <c:spPr>
              <a:solidFill>
                <a:schemeClr val="accent1"/>
              </a:solidFill>
              <a:ln>
                <a:noFill/>
              </a:ln>
              <a:effectLst/>
            </c:spPr>
          </c:marker>
          <c:dLbls>
            <c:dLbl>
              <c:idx val="0"/>
              <c:layout>
                <c:manualLayout>
                  <c:x val="8.0888475294414938E-2"/>
                  <c:y val="7.45275073400791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5D7-440A-850A-EA2797015E00}"/>
                </c:ext>
              </c:extLst>
            </c:dLbl>
            <c:dLbl>
              <c:idx val="1"/>
              <c:layout>
                <c:manualLayout>
                  <c:x val="5.902672521484334E-2"/>
                  <c:y val="-6.85653067528728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5D7-440A-850A-EA2797015E0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(SummaryMatrix!$A$290,SummaryMatrix!$A$300,SummaryMatrix!$A$312)</c:f>
            </c:multiLvlStrRef>
          </c:cat>
          <c:val>
            <c:numRef>
              <c:f>(SummaryMatrix!$J$290,SummaryMatrix!$J$300,SummaryMatrix!$J$310)</c:f>
            </c:numRef>
          </c:val>
          <c:extLst>
            <c:ext xmlns:c16="http://schemas.microsoft.com/office/drawing/2014/chart" uri="{C3380CC4-5D6E-409C-BE32-E72D297353CC}">
              <c16:uniqueId val="{00000001-75D7-440A-850A-EA2797015E00}"/>
            </c:ext>
          </c:extLst>
        </c:ser>
        <c:ser>
          <c:idx val="1"/>
          <c:order val="1"/>
          <c:tx>
            <c:v>Reference values</c:v>
          </c:tx>
          <c:spPr>
            <a:ln w="25400" cap="rnd" cmpd="sng" algn="ctr">
              <a:solidFill>
                <a:schemeClr val="accent2"/>
              </a:solidFill>
              <a:prstDash val="sysDot"/>
              <a:round/>
            </a:ln>
            <a:effectLst/>
          </c:spPr>
          <c:marker>
            <c:symbol val="circle"/>
            <c:size val="6"/>
            <c:spPr>
              <a:solidFill>
                <a:schemeClr val="accent2"/>
              </a:solidFill>
              <a:ln>
                <a:noFill/>
              </a:ln>
              <a:effectLst/>
            </c:spPr>
          </c:marker>
          <c:dLbls>
            <c:dLbl>
              <c:idx val="0"/>
              <c:layout>
                <c:manualLayout>
                  <c:x val="9.6191700350115067E-2"/>
                  <c:y val="3.87543038168411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5D7-440A-850A-EA2797015E00}"/>
                </c:ext>
              </c:extLst>
            </c:dLbl>
            <c:dLbl>
              <c:idx val="2"/>
              <c:layout>
                <c:manualLayout>
                  <c:x val="-3.935115014322893E-2"/>
                  <c:y val="-7.45275073400792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5D7-440A-850A-EA2797015E0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val>
            <c:numRef>
              <c:f>(SummaryMatrix!$K$290,SummaryMatrix!$K$300,SummaryMatrix!$K$310)</c:f>
            </c:numRef>
          </c:val>
          <c:extLst>
            <c:ext xmlns:c16="http://schemas.microsoft.com/office/drawing/2014/chart" uri="{C3380CC4-5D6E-409C-BE32-E72D297353CC}">
              <c16:uniqueId val="{00000002-75D7-440A-850A-EA2797015E00}"/>
            </c:ext>
          </c:extLst>
        </c:ser>
        <c:dLbls>
          <c:showLegendKey val="0"/>
          <c:showVal val="0"/>
          <c:showCatName val="0"/>
          <c:showSerName val="0"/>
          <c:showPercent val="0"/>
          <c:showBubbleSize val="0"/>
        </c:dLbls>
        <c:axId val="123159296"/>
        <c:axId val="123160832"/>
      </c:radarChart>
      <c:catAx>
        <c:axId val="1231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3160832"/>
        <c:crosses val="autoZero"/>
        <c:auto val="1"/>
        <c:lblAlgn val="ctr"/>
        <c:lblOffset val="100"/>
        <c:noMultiLvlLbl val="0"/>
      </c:catAx>
      <c:valAx>
        <c:axId val="123160832"/>
        <c:scaling>
          <c:orientation val="minMax"/>
          <c:max val="5"/>
          <c:min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159296"/>
        <c:crosses val="autoZero"/>
        <c:crossBetween val="between"/>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x-none" sz="1200" b="0" i="0" u="none" strike="noStrike" kern="1200" spc="0" baseline="0">
                <a:solidFill>
                  <a:schemeClr val="tx1"/>
                </a:solidFill>
                <a:latin typeface="+mn-lt"/>
                <a:ea typeface="+mn-ea"/>
                <a:cs typeface="+mn-cs"/>
              </a:defRPr>
            </a:pPr>
            <a:r>
              <a:rPr lang="x-none"/>
              <a:t>Operational dimension - scores overview. Score by criteria</a:t>
            </a:r>
          </a:p>
        </c:rich>
      </c:tx>
      <c:overlay val="0"/>
      <c:spPr>
        <a:noFill/>
        <a:ln>
          <a:noFill/>
        </a:ln>
        <a:effectLst/>
      </c:spPr>
      <c:txPr>
        <a:bodyPr rot="0" spcFirstLastPara="1" vertOverflow="ellipsis" vert="horz" wrap="square" anchor="ctr" anchorCtr="1"/>
        <a:lstStyle/>
        <a:p>
          <a:pPr>
            <a:defRPr lang="x-none" sz="1200" b="0" i="0" u="none" strike="noStrike" kern="1200" spc="0" baseline="0">
              <a:solidFill>
                <a:schemeClr val="tx1"/>
              </a:solidFill>
              <a:latin typeface="+mn-lt"/>
              <a:ea typeface="+mn-ea"/>
              <a:cs typeface="+mn-cs"/>
            </a:defRPr>
          </a:pPr>
          <a:endParaRPr lang="es-419"/>
        </a:p>
      </c:txPr>
    </c:title>
    <c:autoTitleDeleted val="0"/>
    <c:plotArea>
      <c:layout>
        <c:manualLayout>
          <c:layoutTarget val="inner"/>
          <c:xMode val="edge"/>
          <c:yMode val="edge"/>
          <c:x val="9.8848543309476747E-2"/>
          <c:y val="9.809982529683979E-2"/>
          <c:w val="0.87923642833040583"/>
          <c:h val="0.49694291696487713"/>
        </c:manualLayout>
      </c:layout>
      <c:barChart>
        <c:barDir val="col"/>
        <c:grouping val="clustered"/>
        <c:varyColors val="0"/>
        <c:ser>
          <c:idx val="0"/>
          <c:order val="0"/>
          <c:spPr>
            <a:solidFill>
              <a:srgbClr val="4E607A"/>
            </a:solidFill>
            <a:ln>
              <a:noFill/>
            </a:ln>
            <a:effectLst/>
          </c:spPr>
          <c:invertIfNegative val="0"/>
          <c:dLbls>
            <c:spPr>
              <a:noFill/>
              <a:ln>
                <a:noFill/>
              </a:ln>
              <a:effectLst/>
            </c:spPr>
            <c:txPr>
              <a:bodyPr rot="0" spcFirstLastPara="1" vertOverflow="ellipsis" vert="horz" wrap="square" anchor="ctr" anchorCtr="1"/>
              <a:lstStyle/>
              <a:p>
                <a:pPr>
                  <a:defRPr lang="x-none" sz="1000" b="0" i="0" u="none" strike="noStrike" kern="1200" baseline="0">
                    <a:solidFill>
                      <a:schemeClr val="bg2">
                        <a:lumMod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SummaryMatrix!$A$350:$K$351</c:f>
              <c:multiLvlStrCache>
                <c:ptCount val="11"/>
                <c:lvl>
                  <c:pt idx="0">
                    <c:v> Process discipline</c:v>
                  </c:pt>
                  <c:pt idx="1">
                    <c:v> Customers conexión</c:v>
                  </c:pt>
                  <c:pt idx="2">
                    <c:v>Degree of control over 
product specification</c:v>
                  </c:pt>
                  <c:pt idx="3">
                    <c:v>Commitment of 
key actors</c:v>
                  </c:pt>
                  <c:pt idx="4">
                    <c:v>Domain knowledge</c:v>
                  </c:pt>
                  <c:pt idx="5">
                    <c:v>Market 
potential</c:v>
                  </c:pt>
                  <c:pt idx="6">
                    <c:v>Attitude for change</c:v>
                  </c:pt>
                  <c:pt idx="7">
                    <c:v>Product line awareness
</c:v>
                  </c:pt>
                  <c:pt idx="8">
                    <c:v>Potential products</c:v>
                  </c:pt>
                  <c:pt idx="9">
                    <c:v>Organizational 
preparation</c:v>
                  </c:pt>
                  <c:pt idx="10">
                    <c:v>Commitment of 
key actors</c:v>
                  </c:pt>
                </c:lvl>
                <c:lvl>
                  <c:pt idx="0">
                    <c:v>Desirable</c:v>
                  </c:pt>
                  <c:pt idx="2">
                    <c:v>Important</c:v>
                  </c:pt>
                  <c:pt idx="9">
                    <c:v>Very important</c:v>
                  </c:pt>
                </c:lvl>
              </c:multiLvlStrCache>
            </c:multiLvlStrRef>
          </c:cat>
          <c:val>
            <c:numRef>
              <c:f>SummaryMatrix!$A$352:$K$352</c:f>
              <c:numCache>
                <c:formatCode>General</c:formatCode>
                <c:ptCount val="11"/>
                <c:pt idx="0">
                  <c:v>4</c:v>
                </c:pt>
                <c:pt idx="1">
                  <c:v>2</c:v>
                </c:pt>
                <c:pt idx="2">
                  <c:v>4</c:v>
                </c:pt>
                <c:pt idx="3">
                  <c:v>4.8</c:v>
                </c:pt>
                <c:pt idx="4">
                  <c:v>2.5</c:v>
                </c:pt>
                <c:pt idx="5">
                  <c:v>3.9</c:v>
                </c:pt>
                <c:pt idx="6">
                  <c:v>0.5</c:v>
                </c:pt>
                <c:pt idx="7">
                  <c:v>2.8</c:v>
                </c:pt>
                <c:pt idx="8">
                  <c:v>1</c:v>
                </c:pt>
                <c:pt idx="9">
                  <c:v>1.6</c:v>
                </c:pt>
                <c:pt idx="10">
                  <c:v>4.5</c:v>
                </c:pt>
              </c:numCache>
            </c:numRef>
          </c:val>
          <c:extLst>
            <c:ext xmlns:c16="http://schemas.microsoft.com/office/drawing/2014/chart" uri="{C3380CC4-5D6E-409C-BE32-E72D297353CC}">
              <c16:uniqueId val="{00000000-7A56-443B-818B-9A193048AEA2}"/>
            </c:ext>
          </c:extLst>
        </c:ser>
        <c:dLbls>
          <c:showLegendKey val="0"/>
          <c:showVal val="0"/>
          <c:showCatName val="0"/>
          <c:showSerName val="0"/>
          <c:showPercent val="0"/>
          <c:showBubbleSize val="0"/>
        </c:dLbls>
        <c:gapWidth val="219"/>
        <c:overlap val="-27"/>
        <c:axId val="123174272"/>
        <c:axId val="123213312"/>
      </c:barChart>
      <c:catAx>
        <c:axId val="123174272"/>
        <c:scaling>
          <c:orientation val="minMax"/>
        </c:scaling>
        <c:delete val="0"/>
        <c:axPos val="b"/>
        <c:title>
          <c:tx>
            <c:rich>
              <a:bodyPr rot="0" spcFirstLastPara="1" vertOverflow="ellipsis" vert="horz" wrap="square" anchor="ctr" anchorCtr="1"/>
              <a:lstStyle/>
              <a:p>
                <a:pPr>
                  <a:defRPr lang="x-none" sz="1600" b="0" i="0" u="none" strike="noStrike" kern="1200" baseline="0">
                    <a:solidFill>
                      <a:schemeClr val="tx1"/>
                    </a:solidFill>
                    <a:latin typeface="+mn-lt"/>
                    <a:ea typeface="+mn-ea"/>
                    <a:cs typeface="+mn-cs"/>
                  </a:defRPr>
                </a:pPr>
                <a:r>
                  <a:rPr lang="x-none" sz="1600" b="1"/>
                  <a:t>(x) Criteria</a:t>
                </a:r>
              </a:p>
            </c:rich>
          </c:tx>
          <c:layout>
            <c:manualLayout>
              <c:xMode val="edge"/>
              <c:yMode val="edge"/>
              <c:x val="0.41592684490575987"/>
              <c:y val="0.93640204842789387"/>
            </c:manualLayout>
          </c:layout>
          <c:overlay val="0"/>
          <c:spPr>
            <a:noFill/>
            <a:ln>
              <a:noFill/>
            </a:ln>
            <a:effectLst/>
          </c:spPr>
          <c:txPr>
            <a:bodyPr rot="0" spcFirstLastPara="1" vertOverflow="ellipsis" vert="horz" wrap="square" anchor="ctr" anchorCtr="1"/>
            <a:lstStyle/>
            <a:p>
              <a:pPr>
                <a:defRPr lang="x-none" sz="1600" b="0" i="0" u="none" strike="noStrike" kern="1200" baseline="0">
                  <a:solidFill>
                    <a:schemeClr val="tx1"/>
                  </a:solidFill>
                  <a:latin typeface="+mn-lt"/>
                  <a:ea typeface="+mn-ea"/>
                  <a:cs typeface="+mn-cs"/>
                </a:defRPr>
              </a:pPr>
              <a:endParaRPr lang="es-419"/>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x-none" sz="1050" b="0" i="0" u="none" strike="noStrike" kern="1200" baseline="0">
                <a:solidFill>
                  <a:schemeClr val="tx1"/>
                </a:solidFill>
                <a:latin typeface="+mn-lt"/>
                <a:ea typeface="+mn-ea"/>
                <a:cs typeface="+mn-cs"/>
              </a:defRPr>
            </a:pPr>
            <a:endParaRPr lang="es-419"/>
          </a:p>
        </c:txPr>
        <c:crossAx val="123213312"/>
        <c:crosses val="autoZero"/>
        <c:auto val="1"/>
        <c:lblAlgn val="ctr"/>
        <c:lblOffset val="100"/>
        <c:noMultiLvlLbl val="0"/>
      </c:catAx>
      <c:valAx>
        <c:axId val="123213312"/>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x-none" sz="1600" b="1" i="0" u="none" strike="noStrike" kern="1200" baseline="0">
                    <a:solidFill>
                      <a:schemeClr val="tx1"/>
                    </a:solidFill>
                    <a:latin typeface="+mn-lt"/>
                    <a:ea typeface="+mn-ea"/>
                    <a:cs typeface="+mn-cs"/>
                  </a:defRPr>
                </a:pPr>
                <a:r>
                  <a:rPr lang="x-none" sz="1600" b="1"/>
                  <a:t>(y) Score</a:t>
                </a:r>
              </a:p>
            </c:rich>
          </c:tx>
          <c:layout>
            <c:manualLayout>
              <c:xMode val="edge"/>
              <c:yMode val="edge"/>
              <c:x val="5.9768259163956571E-3"/>
              <c:y val="0.30581699288295777"/>
            </c:manualLayout>
          </c:layout>
          <c:overlay val="0"/>
          <c:spPr>
            <a:noFill/>
            <a:ln>
              <a:noFill/>
            </a:ln>
            <a:effectLst/>
          </c:spPr>
          <c:txPr>
            <a:bodyPr rot="-5400000" spcFirstLastPara="1" vertOverflow="ellipsis" vert="horz" wrap="square" anchor="ctr" anchorCtr="1"/>
            <a:lstStyle/>
            <a:p>
              <a:pPr>
                <a:defRPr lang="x-none" sz="1600" b="1" i="0" u="none" strike="noStrike" kern="1200" baseline="0">
                  <a:solidFill>
                    <a:schemeClr val="tx1"/>
                  </a:solidFill>
                  <a:latin typeface="+mn-lt"/>
                  <a:ea typeface="+mn-ea"/>
                  <a:cs typeface="+mn-cs"/>
                </a:defRPr>
              </a:pPr>
              <a:endParaRPr lang="es-419"/>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x-none" sz="1000" b="0" i="0" u="none" strike="noStrike" kern="1200" baseline="0">
                <a:solidFill>
                  <a:schemeClr val="tx1"/>
                </a:solidFill>
                <a:latin typeface="+mn-lt"/>
                <a:ea typeface="+mn-ea"/>
                <a:cs typeface="+mn-cs"/>
              </a:defRPr>
            </a:pPr>
            <a:endParaRPr lang="es-419"/>
          </a:p>
        </c:txPr>
        <c:crossAx val="123174272"/>
        <c:crosses val="autoZero"/>
        <c:crossBetween val="between"/>
      </c:valAx>
      <c:spPr>
        <a:gradFill flip="none" rotWithShape="1">
          <a:gsLst>
            <a:gs pos="2000">
              <a:schemeClr val="accent4">
                <a:lumMod val="20000"/>
                <a:lumOff val="80000"/>
              </a:schemeClr>
            </a:gs>
            <a:gs pos="79000">
              <a:srgbClr val="C8D3E3"/>
            </a:gs>
            <a:gs pos="35000">
              <a:srgbClr val="DDE5FF"/>
            </a:gs>
            <a:gs pos="100000">
              <a:schemeClr val="accent5">
                <a:lumMod val="75000"/>
              </a:schemeClr>
            </a:gs>
          </a:gsLst>
          <a:lin ang="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x-none" sz="1000" b="0" i="0" u="none" strike="noStrike" kern="1200" baseline="0">
          <a:solidFill>
            <a:schemeClr val="tx1"/>
          </a:solidFill>
          <a:latin typeface="+mn-lt"/>
          <a:ea typeface="+mn-ea"/>
          <a:cs typeface="+mn-cs"/>
        </a:defRPr>
      </a:pPr>
      <a:endParaRPr lang="es-419"/>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Technical facet - scores</a:t>
            </a:r>
            <a:r>
              <a:rPr lang="x-none" baseline="0"/>
              <a:t> overview</a:t>
            </a:r>
            <a:endParaRPr lang="x-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chemeClr val="bg2">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SummaryMatrix!$D$342:$H$343</c:f>
              <c:multiLvlStrCache>
                <c:ptCount val="4"/>
                <c:lvl>
                  <c:pt idx="0">
                    <c:v>Reuse aptitute</c:v>
                  </c:pt>
                  <c:pt idx="1">
                    <c:v>Software engineering 
capability</c:v>
                  </c:pt>
                  <c:pt idx="2">
                    <c:v>Commonality and 
variability</c:v>
                  </c:pt>
                  <c:pt idx="3">
                    <c:v>Reuse potential</c:v>
                  </c:pt>
                </c:lvl>
                <c:lvl>
                  <c:pt idx="0">
                    <c:v>Desirable</c:v>
                  </c:pt>
                  <c:pt idx="1">
                    <c:v>Important</c:v>
                  </c:pt>
                  <c:pt idx="3">
                    <c:v>Very important</c:v>
                  </c:pt>
                </c:lvl>
              </c:multiLvlStrCache>
            </c:multiLvlStrRef>
          </c:cat>
          <c:val>
            <c:numRef>
              <c:f>SummaryMatrix!$D$344:$F$344</c:f>
              <c:numCache>
                <c:formatCode>General</c:formatCode>
                <c:ptCount val="3"/>
                <c:pt idx="0">
                  <c:v>4.7</c:v>
                </c:pt>
                <c:pt idx="1">
                  <c:v>3.5</c:v>
                </c:pt>
                <c:pt idx="2">
                  <c:v>4</c:v>
                </c:pt>
              </c:numCache>
            </c:numRef>
          </c:val>
          <c:extLst>
            <c:ext xmlns:c16="http://schemas.microsoft.com/office/drawing/2014/chart" uri="{C3380CC4-5D6E-409C-BE32-E72D297353CC}">
              <c16:uniqueId val="{00000000-82CF-4D55-9D2F-A4F541C184B2}"/>
            </c:ext>
          </c:extLst>
        </c:ser>
        <c:dLbls>
          <c:showLegendKey val="0"/>
          <c:showVal val="0"/>
          <c:showCatName val="0"/>
          <c:showSerName val="0"/>
          <c:showPercent val="0"/>
          <c:showBubbleSize val="0"/>
        </c:dLbls>
        <c:gapWidth val="219"/>
        <c:overlap val="-27"/>
        <c:axId val="123247232"/>
        <c:axId val="123253120"/>
      </c:barChart>
      <c:catAx>
        <c:axId val="12324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53120"/>
        <c:crosses val="autoZero"/>
        <c:auto val="1"/>
        <c:lblAlgn val="ctr"/>
        <c:lblOffset val="100"/>
        <c:noMultiLvlLbl val="0"/>
      </c:catAx>
      <c:valAx>
        <c:axId val="12325312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47232"/>
        <c:crosses val="autoZero"/>
        <c:crossBetween val="between"/>
      </c:valAx>
      <c:spPr>
        <a:gradFill flip="none" rotWithShape="1">
          <a:gsLst>
            <a:gs pos="2000">
              <a:schemeClr val="accent4">
                <a:lumMod val="20000"/>
                <a:lumOff val="80000"/>
              </a:schemeClr>
            </a:gs>
            <a:gs pos="69000">
              <a:srgbClr val="C8D3E3"/>
            </a:gs>
            <a:gs pos="36000">
              <a:srgbClr val="F8EFD7"/>
            </a:gs>
            <a:gs pos="52000">
              <a:srgbClr val="DDE5FF"/>
            </a:gs>
            <a:gs pos="100000">
              <a:schemeClr val="accent6">
                <a:lumMod val="50000"/>
              </a:schemeClr>
            </a:gs>
          </a:gsLst>
          <a:lin ang="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x-none" b="1"/>
              <a:t>Economic facet - scores</a:t>
            </a:r>
            <a:r>
              <a:rPr lang="x-none" b="1" baseline="0"/>
              <a:t> overview</a:t>
            </a:r>
            <a:endParaRPr lang="x-none" b="1"/>
          </a:p>
        </c:rich>
      </c:tx>
      <c:layout>
        <c:manualLayout>
          <c:xMode val="edge"/>
          <c:yMode val="edge"/>
          <c:x val="0.30170406012209361"/>
          <c:y val="2.226587736761226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rgbClr val="4E607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SummaryMatrix!$D$337:$G$338</c:f>
              <c:multiLvlStrCache>
                <c:ptCount val="3"/>
                <c:lvl>
                  <c:pt idx="0">
                    <c:v>Economic indicators</c:v>
                  </c:pt>
                  <c:pt idx="1">
                    <c:v> Readiness to pay 
migration costs</c:v>
                  </c:pt>
                  <c:pt idx="2">
                    <c:v>Readiness to do 
investments</c:v>
                  </c:pt>
                </c:lvl>
                <c:lvl>
                  <c:pt idx="0">
                    <c:v>Important</c:v>
                  </c:pt>
                  <c:pt idx="2">
                    <c:v>Very important</c:v>
                  </c:pt>
                </c:lvl>
              </c:multiLvlStrCache>
            </c:multiLvlStrRef>
          </c:cat>
          <c:val>
            <c:numRef>
              <c:f>SummaryMatrix!$D$339:$F$339</c:f>
              <c:numCache>
                <c:formatCode>General</c:formatCode>
                <c:ptCount val="3"/>
                <c:pt idx="0">
                  <c:v>1.9</c:v>
                </c:pt>
                <c:pt idx="1">
                  <c:v>2</c:v>
                </c:pt>
                <c:pt idx="2">
                  <c:v>2.65</c:v>
                </c:pt>
              </c:numCache>
            </c:numRef>
          </c:val>
          <c:extLst>
            <c:ext xmlns:c16="http://schemas.microsoft.com/office/drawing/2014/chart" uri="{C3380CC4-5D6E-409C-BE32-E72D297353CC}">
              <c16:uniqueId val="{00000000-E6E7-42DE-A794-D66D68D6C035}"/>
            </c:ext>
          </c:extLst>
        </c:ser>
        <c:dLbls>
          <c:showLegendKey val="0"/>
          <c:showVal val="0"/>
          <c:showCatName val="0"/>
          <c:showSerName val="0"/>
          <c:showPercent val="0"/>
          <c:showBubbleSize val="0"/>
        </c:dLbls>
        <c:gapWidth val="219"/>
        <c:overlap val="-27"/>
        <c:axId val="123290752"/>
        <c:axId val="123292672"/>
      </c:barChart>
      <c:catAx>
        <c:axId val="123290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x-none"/>
                  <a:t>Criteria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92672"/>
        <c:crosses val="autoZero"/>
        <c:auto val="1"/>
        <c:lblAlgn val="ctr"/>
        <c:lblOffset val="100"/>
        <c:noMultiLvlLbl val="0"/>
      </c:catAx>
      <c:valAx>
        <c:axId val="123292672"/>
        <c:scaling>
          <c:orientation val="minMax"/>
          <c:max val="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x-none"/>
                  <a:t>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90752"/>
        <c:crosses val="autoZero"/>
        <c:crossBetween val="between"/>
      </c:valAx>
      <c:spPr>
        <a:gradFill flip="none" rotWithShape="1">
          <a:gsLst>
            <a:gs pos="2000">
              <a:schemeClr val="accent4">
                <a:lumMod val="20000"/>
                <a:lumOff val="80000"/>
              </a:schemeClr>
            </a:gs>
            <a:gs pos="70000">
              <a:srgbClr val="E0E1D9"/>
            </a:gs>
            <a:gs pos="85000">
              <a:srgbClr val="C8D3E3"/>
            </a:gs>
            <a:gs pos="55000">
              <a:schemeClr val="accent4">
                <a:lumMod val="20000"/>
                <a:lumOff val="80000"/>
              </a:schemeClr>
            </a:gs>
            <a:gs pos="100000">
              <a:schemeClr val="accent5">
                <a:lumMod val="75000"/>
              </a:schemeClr>
            </a:gs>
          </a:gsLst>
          <a:lin ang="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APPLIES-motivatio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chart" Target="../charts/chart26.xml"/><Relationship Id="rId18" Type="http://schemas.openxmlformats.org/officeDocument/2006/relationships/chart" Target="../charts/chart31.xml"/><Relationship Id="rId26" Type="http://schemas.openxmlformats.org/officeDocument/2006/relationships/chart" Target="../charts/chart39.xml"/><Relationship Id="rId3" Type="http://schemas.openxmlformats.org/officeDocument/2006/relationships/chart" Target="../charts/chart16.xml"/><Relationship Id="rId21" Type="http://schemas.openxmlformats.org/officeDocument/2006/relationships/chart" Target="../charts/chart34.xml"/><Relationship Id="rId34" Type="http://schemas.openxmlformats.org/officeDocument/2006/relationships/chart" Target="../charts/chart47.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5" Type="http://schemas.openxmlformats.org/officeDocument/2006/relationships/chart" Target="../charts/chart38.xml"/><Relationship Id="rId33" Type="http://schemas.openxmlformats.org/officeDocument/2006/relationships/chart" Target="../charts/chart46.xml"/><Relationship Id="rId2" Type="http://schemas.openxmlformats.org/officeDocument/2006/relationships/chart" Target="../charts/chart15.xml"/><Relationship Id="rId16" Type="http://schemas.openxmlformats.org/officeDocument/2006/relationships/chart" Target="../charts/chart29.xml"/><Relationship Id="rId20" Type="http://schemas.openxmlformats.org/officeDocument/2006/relationships/chart" Target="../charts/chart33.xml"/><Relationship Id="rId29" Type="http://schemas.openxmlformats.org/officeDocument/2006/relationships/chart" Target="../charts/chart42.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24" Type="http://schemas.openxmlformats.org/officeDocument/2006/relationships/chart" Target="../charts/chart37.xml"/><Relationship Id="rId32" Type="http://schemas.openxmlformats.org/officeDocument/2006/relationships/chart" Target="../charts/chart45.xml"/><Relationship Id="rId37" Type="http://schemas.openxmlformats.org/officeDocument/2006/relationships/chart" Target="../charts/chart50.xml"/><Relationship Id="rId5" Type="http://schemas.openxmlformats.org/officeDocument/2006/relationships/chart" Target="../charts/chart18.xml"/><Relationship Id="rId15" Type="http://schemas.openxmlformats.org/officeDocument/2006/relationships/chart" Target="../charts/chart28.xml"/><Relationship Id="rId23" Type="http://schemas.openxmlformats.org/officeDocument/2006/relationships/chart" Target="../charts/chart36.xml"/><Relationship Id="rId28" Type="http://schemas.openxmlformats.org/officeDocument/2006/relationships/chart" Target="../charts/chart41.xml"/><Relationship Id="rId36" Type="http://schemas.openxmlformats.org/officeDocument/2006/relationships/chart" Target="../charts/chart49.xml"/><Relationship Id="rId10" Type="http://schemas.openxmlformats.org/officeDocument/2006/relationships/chart" Target="../charts/chart23.xml"/><Relationship Id="rId19" Type="http://schemas.openxmlformats.org/officeDocument/2006/relationships/chart" Target="../charts/chart32.xml"/><Relationship Id="rId31" Type="http://schemas.openxmlformats.org/officeDocument/2006/relationships/chart" Target="../charts/chart44.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 Id="rId22" Type="http://schemas.openxmlformats.org/officeDocument/2006/relationships/chart" Target="../charts/chart35.xml"/><Relationship Id="rId27" Type="http://schemas.openxmlformats.org/officeDocument/2006/relationships/chart" Target="../charts/chart40.xml"/><Relationship Id="rId30" Type="http://schemas.openxmlformats.org/officeDocument/2006/relationships/chart" Target="../charts/chart43.xml"/><Relationship Id="rId35"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69302</xdr:rowOff>
    </xdr:from>
    <xdr:to>
      <xdr:col>2</xdr:col>
      <xdr:colOff>30361</xdr:colOff>
      <xdr:row>3</xdr:row>
      <xdr:rowOff>114299</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5074"/>
        <a:stretch/>
      </xdr:blipFill>
      <xdr:spPr>
        <a:xfrm>
          <a:off x="0" y="69302"/>
          <a:ext cx="1554361" cy="616497"/>
        </a:xfrm>
        <a:prstGeom prst="rect">
          <a:avLst/>
        </a:prstGeom>
      </xdr:spPr>
    </xdr:pic>
    <xdr:clientData/>
  </xdr:twoCellAnchor>
  <xdr:twoCellAnchor>
    <xdr:from>
      <xdr:col>1</xdr:col>
      <xdr:colOff>624051</xdr:colOff>
      <xdr:row>0</xdr:row>
      <xdr:rowOff>71207</xdr:rowOff>
    </xdr:from>
    <xdr:to>
      <xdr:col>9</xdr:col>
      <xdr:colOff>85725</xdr:colOff>
      <xdr:row>2</xdr:row>
      <xdr:rowOff>164612</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1386051" y="71207"/>
          <a:ext cx="5557674" cy="4744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419" sz="1100" b="1">
              <a:solidFill>
                <a:srgbClr val="3366FF"/>
              </a:solidFill>
            </a:rPr>
            <a:t>A framework for evaluating</a:t>
          </a:r>
          <a:r>
            <a:rPr lang="es-419" sz="1100" b="1" baseline="0">
              <a:solidFill>
                <a:srgbClr val="3366FF"/>
              </a:solidFill>
            </a:rPr>
            <a:t> company's preparation and motivation for adopting product lines ( v 1.0.4a)</a:t>
          </a:r>
          <a:endParaRPr lang="es-419" sz="1100" b="1">
            <a:solidFill>
              <a:srgbClr val="3366FF"/>
            </a:solidFill>
          </a:endParaRPr>
        </a:p>
      </xdr:txBody>
    </xdr:sp>
    <xdr:clientData/>
  </xdr:twoCellAnchor>
  <xdr:twoCellAnchor>
    <xdr:from>
      <xdr:col>0</xdr:col>
      <xdr:colOff>65690</xdr:colOff>
      <xdr:row>2</xdr:row>
      <xdr:rowOff>106408</xdr:rowOff>
    </xdr:from>
    <xdr:to>
      <xdr:col>9</xdr:col>
      <xdr:colOff>95250</xdr:colOff>
      <xdr:row>4</xdr:row>
      <xdr:rowOff>111671</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65690" y="487408"/>
          <a:ext cx="6887560" cy="38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419" sz="700" b="1" i="0">
              <a:latin typeface="Comic Sans MS" panose="030F0702030302020204" pitchFamily="66" charset="0"/>
            </a:rPr>
            <a:t>by Luisa</a:t>
          </a:r>
          <a:r>
            <a:rPr lang="es-419" sz="700" b="1" i="0" baseline="0">
              <a:latin typeface="Comic Sans MS" panose="030F0702030302020204" pitchFamily="66" charset="0"/>
            </a:rPr>
            <a:t> Rincón</a:t>
          </a:r>
        </a:p>
        <a:p>
          <a:pPr algn="ctr"/>
          <a:r>
            <a:rPr lang="es-419" sz="900" b="1" i="0" baseline="0">
              <a:latin typeface="Comic Sans MS" panose="030F0702030302020204" pitchFamily="66" charset="0"/>
            </a:rPr>
            <a:t>lfrincon@applies.variamos.com</a:t>
          </a:r>
          <a:endParaRPr lang="es-419" sz="900" b="1" i="0">
            <a:latin typeface="Comic Sans MS" panose="030F0702030302020204" pitchFamily="66" charset="0"/>
          </a:endParaRPr>
        </a:p>
      </xdr:txBody>
    </xdr:sp>
    <xdr:clientData/>
  </xdr:twoCellAnchor>
  <xdr:twoCellAnchor>
    <xdr:from>
      <xdr:col>0</xdr:col>
      <xdr:colOff>59121</xdr:colOff>
      <xdr:row>4</xdr:row>
      <xdr:rowOff>111671</xdr:rowOff>
    </xdr:from>
    <xdr:to>
      <xdr:col>9</xdr:col>
      <xdr:colOff>85725</xdr:colOff>
      <xdr:row>28</xdr:row>
      <xdr:rowOff>95250</xdr:rowOff>
    </xdr:to>
    <xdr:sp macro="" textlink="">
      <xdr:nvSpPr>
        <xdr:cNvPr id="7" name="CuadroTexto 6">
          <a:extLst>
            <a:ext uri="{FF2B5EF4-FFF2-40B4-BE49-F238E27FC236}">
              <a16:creationId xmlns:a16="http://schemas.microsoft.com/office/drawing/2014/main" id="{00000000-0008-0000-0000-000007000000}"/>
            </a:ext>
          </a:extLst>
        </xdr:cNvPr>
        <xdr:cNvSpPr txBox="1"/>
      </xdr:nvSpPr>
      <xdr:spPr>
        <a:xfrm>
          <a:off x="59121" y="873671"/>
          <a:ext cx="6884604" cy="45555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Welcome! This tool provides support to the APPLIES framework. </a:t>
          </a:r>
          <a:endParaRPr lang="es-419"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APPLIES is a free framework for evaluating in a systematic, objective and repeatable way company’s motivation and preparation for adopting product lines. As a result, APPLIES intends to provide information for supporting the judgments of decision-makers prior they take any decision in favor or against adopting a product line. This framework expects to be useful to consultants, project managers or any person interested in advising management levels to choose a product line initiative. APPLIES ask for some product-lines related concepts, </a:t>
          </a:r>
          <a:r>
            <a:rPr lang="en-US" sz="1100" i="1">
              <a:solidFill>
                <a:schemeClr val="dk1"/>
              </a:solidFill>
              <a:effectLst/>
              <a:latin typeface="+mn-lt"/>
              <a:ea typeface="+mn-ea"/>
              <a:cs typeface="+mn-cs"/>
            </a:rPr>
            <a:t>THUS IT IS RECOMMENDED</a:t>
          </a:r>
          <a:r>
            <a:rPr lang="en-US" sz="1100">
              <a:solidFill>
                <a:schemeClr val="dk1"/>
              </a:solidFill>
              <a:effectLst/>
              <a:latin typeface="+mn-lt"/>
              <a:ea typeface="+mn-ea"/>
              <a:cs typeface="+mn-cs"/>
            </a:rPr>
            <a:t> that you have at least a </a:t>
          </a:r>
          <a:r>
            <a:rPr lang="en-US" sz="1100" i="1">
              <a:solidFill>
                <a:schemeClr val="dk1"/>
              </a:solidFill>
              <a:effectLst/>
              <a:latin typeface="+mn-lt"/>
              <a:ea typeface="+mn-ea"/>
              <a:cs typeface="+mn-cs"/>
            </a:rPr>
            <a:t>BASIC</a:t>
          </a:r>
          <a:r>
            <a:rPr lang="en-US" sz="1100">
              <a:solidFill>
                <a:schemeClr val="dk1"/>
              </a:solidFill>
              <a:effectLst/>
              <a:latin typeface="+mn-lt"/>
              <a:ea typeface="+mn-ea"/>
              <a:cs typeface="+mn-cs"/>
            </a:rPr>
            <a:t> notion </a:t>
          </a:r>
          <a:r>
            <a:rPr lang="en-US" sz="1100" i="1">
              <a:solidFill>
                <a:schemeClr val="dk1"/>
              </a:solidFill>
              <a:effectLst/>
              <a:latin typeface="+mn-lt"/>
              <a:ea typeface="+mn-ea"/>
              <a:cs typeface="+mn-cs"/>
            </a:rPr>
            <a:t>about WHAT IS THE PRODUCT LINE ENGINEERING</a:t>
          </a:r>
          <a:r>
            <a:rPr lang="en-US" sz="1100">
              <a:solidFill>
                <a:schemeClr val="dk1"/>
              </a:solidFill>
              <a:effectLst/>
              <a:latin typeface="+mn-lt"/>
              <a:ea typeface="+mn-ea"/>
              <a:cs typeface="+mn-cs"/>
            </a:rPr>
            <a:t> approach before using APPLIES.</a:t>
          </a:r>
          <a:endParaRPr lang="es-419"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three main tabs: “APPLIES-motivation”, “APPLIES-preparation”, and “Preparation charts”. </a:t>
          </a:r>
          <a:r>
            <a:rPr lang="en-US" sz="1100" b="1">
              <a:solidFill>
                <a:schemeClr val="dk1"/>
              </a:solidFill>
              <a:effectLst/>
              <a:latin typeface="+mn-lt"/>
              <a:ea typeface="+mn-ea"/>
              <a:cs typeface="+mn-cs"/>
            </a:rPr>
            <a:t>APPLIES-motivation</a:t>
          </a:r>
          <a:r>
            <a:rPr lang="en-US" sz="1100">
              <a:solidFill>
                <a:schemeClr val="dk1"/>
              </a:solidFill>
              <a:effectLst/>
              <a:latin typeface="+mn-lt"/>
              <a:ea typeface="+mn-ea"/>
              <a:cs typeface="+mn-cs"/>
            </a:rPr>
            <a:t> has questions that help companies to identify “signals”, called henceforth adoption drivers, which indicate that a product line approach could be useful for a company. On the other hand, </a:t>
          </a:r>
          <a:r>
            <a:rPr lang="en-US" sz="1100" b="1">
              <a:solidFill>
                <a:schemeClr val="dk1"/>
              </a:solidFill>
              <a:effectLst/>
              <a:latin typeface="+mn-lt"/>
              <a:ea typeface="+mn-ea"/>
              <a:cs typeface="+mn-cs"/>
            </a:rPr>
            <a:t>APPLIES-preparation</a:t>
          </a:r>
          <a:r>
            <a:rPr lang="en-US" sz="1100">
              <a:solidFill>
                <a:schemeClr val="dk1"/>
              </a:solidFill>
              <a:effectLst/>
              <a:latin typeface="+mn-lt"/>
              <a:ea typeface="+mn-ea"/>
              <a:cs typeface="+mn-cs"/>
            </a:rPr>
            <a:t> helps companies to assess to what extent current and future company practices encourage or impede a product line engineering adoption and its resulting charts are shown in the tab “</a:t>
          </a:r>
          <a:r>
            <a:rPr lang="en-US" sz="1100" b="1">
              <a:solidFill>
                <a:schemeClr val="dk1"/>
              </a:solidFill>
              <a:effectLst/>
              <a:latin typeface="+mn-lt"/>
              <a:ea typeface="+mn-ea"/>
              <a:cs typeface="+mn-cs"/>
            </a:rPr>
            <a:t>Preparation charts</a:t>
          </a:r>
          <a:r>
            <a:rPr lang="en-US" sz="1100">
              <a:solidFill>
                <a:schemeClr val="dk1"/>
              </a:solidFill>
              <a:effectLst/>
              <a:latin typeface="+mn-lt"/>
              <a:ea typeface="+mn-ea"/>
              <a:cs typeface="+mn-cs"/>
            </a:rPr>
            <a:t>”. </a:t>
          </a:r>
          <a:endParaRPr lang="es-419"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While there is no right way to use APPLIES, you might benefit by having several members of the company complete the scoring independently. The results should then be compared and discussed as a group. </a:t>
          </a:r>
          <a:endParaRPr lang="es-419" sz="1100">
            <a:solidFill>
              <a:schemeClr val="dk1"/>
            </a:solidFill>
            <a:effectLst/>
            <a:latin typeface="+mn-lt"/>
            <a:ea typeface="+mn-ea"/>
            <a:cs typeface="+mn-cs"/>
          </a:endParaRPr>
        </a:p>
        <a:p>
          <a:endParaRPr lang="en-US" sz="1050" b="1" baseline="0">
            <a:solidFill>
              <a:schemeClr val="dk1"/>
            </a:solidFill>
            <a:effectLst/>
            <a:latin typeface="+mn-lt"/>
            <a:ea typeface="+mn-ea"/>
            <a:cs typeface="+mn-cs"/>
          </a:endParaRPr>
        </a:p>
        <a:p>
          <a:r>
            <a:rPr lang="en-US" sz="1100">
              <a:solidFill>
                <a:schemeClr val="dk1"/>
              </a:solidFill>
              <a:effectLst/>
              <a:latin typeface="+mn-lt"/>
              <a:ea typeface="+mn-ea"/>
              <a:cs typeface="+mn-cs"/>
            </a:rPr>
            <a:t>To commence using APPLIES go to the sheet Applies-motivation and type in the company’s name (cell C2). In this tab, you will find questions related to                                         . Then, go to the sheet "</a:t>
          </a:r>
          <a:r>
            <a:rPr lang="en-US" sz="1100" b="1">
              <a:solidFill>
                <a:schemeClr val="dk1"/>
              </a:solidFill>
              <a:effectLst/>
              <a:latin typeface="+mn-lt"/>
              <a:ea typeface="+mn-ea"/>
              <a:cs typeface="+mn-cs"/>
            </a:rPr>
            <a:t>APPLIES-preparation</a:t>
          </a:r>
          <a:r>
            <a:rPr lang="en-US" sz="1100">
              <a:solidFill>
                <a:schemeClr val="dk1"/>
              </a:solidFill>
              <a:effectLst/>
              <a:latin typeface="+mn-lt"/>
              <a:ea typeface="+mn-ea"/>
              <a:cs typeface="+mn-cs"/>
            </a:rPr>
            <a:t>" where you will find questions related to APPLIES-preparation. After completing the scoring, you will find in the sheet "</a:t>
          </a:r>
          <a:r>
            <a:rPr lang="en-US" sz="1100" b="1">
              <a:solidFill>
                <a:schemeClr val="dk1"/>
              </a:solidFill>
              <a:effectLst/>
              <a:latin typeface="+mn-lt"/>
              <a:ea typeface="+mn-ea"/>
              <a:cs typeface="+mn-cs"/>
            </a:rPr>
            <a:t>Preparation results</a:t>
          </a:r>
          <a:r>
            <a:rPr lang="en-US" sz="1100">
              <a:solidFill>
                <a:schemeClr val="dk1"/>
              </a:solidFill>
              <a:effectLst/>
              <a:latin typeface="+mn-lt"/>
              <a:ea typeface="+mn-ea"/>
              <a:cs typeface="+mn-cs"/>
            </a:rPr>
            <a:t>" a quantitative and graphical visual synthesis about how well your organization is prepared for adopting a product line approach.  These graphical results are calculated automatically. </a:t>
          </a:r>
          <a:endParaRPr lang="es-419" sz="1100">
            <a:solidFill>
              <a:schemeClr val="dk1"/>
            </a:solidFill>
            <a:effectLst/>
            <a:latin typeface="+mn-lt"/>
            <a:ea typeface="+mn-ea"/>
            <a:cs typeface="+mn-cs"/>
          </a:endParaRPr>
        </a:p>
        <a:p>
          <a:endParaRPr lang="en-US" sz="1100" i="1">
            <a:solidFill>
              <a:schemeClr val="dk1"/>
            </a:solidFill>
            <a:effectLst/>
            <a:latin typeface="+mn-lt"/>
            <a:ea typeface="+mn-ea"/>
            <a:cs typeface="+mn-cs"/>
          </a:endParaRPr>
        </a:p>
        <a:p>
          <a:r>
            <a:rPr lang="en-US" sz="1100" i="1">
              <a:solidFill>
                <a:schemeClr val="dk1"/>
              </a:solidFill>
              <a:effectLst/>
              <a:latin typeface="+mn-lt"/>
              <a:ea typeface="+mn-ea"/>
              <a:cs typeface="+mn-cs"/>
            </a:rPr>
            <a:t>In case you have any queries regarding the use of this Framework, or its results, you can contact me at </a:t>
          </a:r>
          <a:r>
            <a:rPr lang="en-US" sz="1100" b="1" i="1">
              <a:solidFill>
                <a:schemeClr val="dk1"/>
              </a:solidFill>
              <a:effectLst/>
              <a:latin typeface="+mn-lt"/>
              <a:ea typeface="+mn-ea"/>
              <a:cs typeface="+mn-cs"/>
            </a:rPr>
            <a:t>lfrincon@applies.variamos.com</a:t>
          </a:r>
          <a:endParaRPr lang="es-419" sz="1100">
            <a:solidFill>
              <a:schemeClr val="dk1"/>
            </a:solidFill>
            <a:effectLst/>
            <a:latin typeface="+mn-lt"/>
            <a:ea typeface="+mn-ea"/>
            <a:cs typeface="+mn-cs"/>
          </a:endParaRPr>
        </a:p>
        <a:p>
          <a:endParaRPr lang="en-US" sz="1050" b="1" baseline="0">
            <a:solidFill>
              <a:schemeClr val="dk1"/>
            </a:solidFill>
            <a:effectLst/>
            <a:latin typeface="+mn-lt"/>
            <a:ea typeface="+mn-ea"/>
            <a:cs typeface="+mn-cs"/>
          </a:endParaRPr>
        </a:p>
      </xdr:txBody>
    </xdr:sp>
    <xdr:clientData/>
  </xdr:twoCellAnchor>
  <xdr:oneCellAnchor>
    <xdr:from>
      <xdr:col>2</xdr:col>
      <xdr:colOff>499711</xdr:colOff>
      <xdr:row>21</xdr:row>
      <xdr:rowOff>104445</xdr:rowOff>
    </xdr:from>
    <xdr:ext cx="1529114" cy="256737"/>
    <xdr:sp macro="" textlink="">
      <xdr:nvSpPr>
        <xdr:cNvPr id="8" name="CuadroTexto 7">
          <a:hlinkClick xmlns:r="http://schemas.openxmlformats.org/officeDocument/2006/relationships" r:id="rId2"/>
          <a:extLst>
            <a:ext uri="{FF2B5EF4-FFF2-40B4-BE49-F238E27FC236}">
              <a16:creationId xmlns:a16="http://schemas.microsoft.com/office/drawing/2014/main" id="{00000000-0008-0000-0000-000008000000}"/>
            </a:ext>
          </a:extLst>
        </xdr:cNvPr>
        <xdr:cNvSpPr txBox="1"/>
      </xdr:nvSpPr>
      <xdr:spPr>
        <a:xfrm flipH="1">
          <a:off x="2023711" y="4104945"/>
          <a:ext cx="1529114"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419" sz="1050" b="1" u="sng">
              <a:solidFill>
                <a:srgbClr val="3366FF"/>
              </a:solidFill>
            </a:rPr>
            <a:t>"APPLIEs-motivation</a:t>
          </a:r>
          <a:r>
            <a:rPr lang="es-419" sz="1050" b="1" u="sng" baseline="0">
              <a:solidFill>
                <a:srgbClr val="3366FF"/>
              </a:solidFill>
            </a:rPr>
            <a:t>"</a:t>
          </a:r>
          <a:endParaRPr lang="es-419" sz="1050" b="1" u="sng">
            <a:solidFill>
              <a:srgbClr val="3366FF"/>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10</xdr:col>
      <xdr:colOff>759565</xdr:colOff>
      <xdr:row>2</xdr:row>
      <xdr:rowOff>307747</xdr:rowOff>
    </xdr:from>
    <xdr:to>
      <xdr:col>10</xdr:col>
      <xdr:colOff>900662</xdr:colOff>
      <xdr:row>2</xdr:row>
      <xdr:rowOff>443582</xdr:rowOff>
    </xdr:to>
    <xdr:sp macro="" textlink="">
      <xdr:nvSpPr>
        <xdr:cNvPr id="2" name="Flecha: hacia abajo 1">
          <a:extLst>
            <a:ext uri="{FF2B5EF4-FFF2-40B4-BE49-F238E27FC236}">
              <a16:creationId xmlns:a16="http://schemas.microsoft.com/office/drawing/2014/main" id="{00000000-0008-0000-0100-000002000000}"/>
            </a:ext>
          </a:extLst>
        </xdr:cNvPr>
        <xdr:cNvSpPr/>
      </xdr:nvSpPr>
      <xdr:spPr>
        <a:xfrm>
          <a:off x="5331565" y="730160"/>
          <a:ext cx="14109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5</xdr:col>
      <xdr:colOff>3652290</xdr:colOff>
      <xdr:row>1</xdr:row>
      <xdr:rowOff>65822</xdr:rowOff>
    </xdr:from>
    <xdr:to>
      <xdr:col>5</xdr:col>
      <xdr:colOff>3788125</xdr:colOff>
      <xdr:row>1</xdr:row>
      <xdr:rowOff>215689</xdr:rowOff>
    </xdr:to>
    <xdr:sp macro="" textlink="">
      <xdr:nvSpPr>
        <xdr:cNvPr id="3" name="Flecha: hacia abajo 2">
          <a:extLst>
            <a:ext uri="{FF2B5EF4-FFF2-40B4-BE49-F238E27FC236}">
              <a16:creationId xmlns:a16="http://schemas.microsoft.com/office/drawing/2014/main" id="{00000000-0008-0000-0100-000003000000}"/>
            </a:ext>
          </a:extLst>
        </xdr:cNvPr>
        <xdr:cNvSpPr/>
      </xdr:nvSpPr>
      <xdr:spPr>
        <a:xfrm rot="16200000">
          <a:off x="3645274" y="72838"/>
          <a:ext cx="149867" cy="135835"/>
        </a:xfrm>
        <a:prstGeom prst="downArrow">
          <a:avLst/>
        </a:prstGeom>
        <a:solidFill>
          <a:srgbClr val="FF0000"/>
        </a:solidFill>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20</xdr:col>
      <xdr:colOff>841075</xdr:colOff>
      <xdr:row>2</xdr:row>
      <xdr:rowOff>317565</xdr:rowOff>
    </xdr:from>
    <xdr:to>
      <xdr:col>20</xdr:col>
      <xdr:colOff>990942</xdr:colOff>
      <xdr:row>2</xdr:row>
      <xdr:rowOff>453400</xdr:rowOff>
    </xdr:to>
    <xdr:sp macro="" textlink="">
      <xdr:nvSpPr>
        <xdr:cNvPr id="16" name="Flecha: hacia abajo 15">
          <a:extLst>
            <a:ext uri="{FF2B5EF4-FFF2-40B4-BE49-F238E27FC236}">
              <a16:creationId xmlns:a16="http://schemas.microsoft.com/office/drawing/2014/main" id="{00000000-0008-0000-0100-000010000000}"/>
            </a:ext>
          </a:extLst>
        </xdr:cNvPr>
        <xdr:cNvSpPr/>
      </xdr:nvSpPr>
      <xdr:spPr>
        <a:xfrm>
          <a:off x="13739046" y="732183"/>
          <a:ext cx="14986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20</xdr:col>
      <xdr:colOff>897105</xdr:colOff>
      <xdr:row>12</xdr:row>
      <xdr:rowOff>138270</xdr:rowOff>
    </xdr:from>
    <xdr:to>
      <xdr:col>20</xdr:col>
      <xdr:colOff>1046972</xdr:colOff>
      <xdr:row>12</xdr:row>
      <xdr:rowOff>274105</xdr:rowOff>
    </xdr:to>
    <xdr:sp macro="" textlink="">
      <xdr:nvSpPr>
        <xdr:cNvPr id="17" name="Flecha: hacia abajo 16">
          <a:extLst>
            <a:ext uri="{FF2B5EF4-FFF2-40B4-BE49-F238E27FC236}">
              <a16:creationId xmlns:a16="http://schemas.microsoft.com/office/drawing/2014/main" id="{00000000-0008-0000-0100-000011000000}"/>
            </a:ext>
          </a:extLst>
        </xdr:cNvPr>
        <xdr:cNvSpPr/>
      </xdr:nvSpPr>
      <xdr:spPr>
        <a:xfrm>
          <a:off x="12583866" y="7054248"/>
          <a:ext cx="14986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10</xdr:col>
      <xdr:colOff>816715</xdr:colOff>
      <xdr:row>7</xdr:row>
      <xdr:rowOff>166528</xdr:rowOff>
    </xdr:from>
    <xdr:to>
      <xdr:col>10</xdr:col>
      <xdr:colOff>957812</xdr:colOff>
      <xdr:row>7</xdr:row>
      <xdr:rowOff>302363</xdr:rowOff>
    </xdr:to>
    <xdr:sp macro="" textlink="">
      <xdr:nvSpPr>
        <xdr:cNvPr id="18" name="Flecha: hacia abajo 17">
          <a:extLst>
            <a:ext uri="{FF2B5EF4-FFF2-40B4-BE49-F238E27FC236}">
              <a16:creationId xmlns:a16="http://schemas.microsoft.com/office/drawing/2014/main" id="{00000000-0008-0000-0100-000012000000}"/>
            </a:ext>
          </a:extLst>
        </xdr:cNvPr>
        <xdr:cNvSpPr/>
      </xdr:nvSpPr>
      <xdr:spPr>
        <a:xfrm>
          <a:off x="6245965" y="982957"/>
          <a:ext cx="14109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22</xdr:col>
      <xdr:colOff>253661</xdr:colOff>
      <xdr:row>2</xdr:row>
      <xdr:rowOff>508002</xdr:rowOff>
    </xdr:from>
    <xdr:to>
      <xdr:col>29</xdr:col>
      <xdr:colOff>425823</xdr:colOff>
      <xdr:row>6</xdr:row>
      <xdr:rowOff>358589</xdr:rowOff>
    </xdr:to>
    <xdr:graphicFrame macro="">
      <xdr:nvGraphicFramePr>
        <xdr:cNvPr id="7" name="Gráfico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27215</xdr:colOff>
      <xdr:row>7</xdr:row>
      <xdr:rowOff>495462</xdr:rowOff>
    </xdr:from>
    <xdr:to>
      <xdr:col>29</xdr:col>
      <xdr:colOff>734786</xdr:colOff>
      <xdr:row>12</xdr:row>
      <xdr:rowOff>683560</xdr:rowOff>
    </xdr:to>
    <xdr:graphicFrame macro="">
      <xdr:nvGraphicFramePr>
        <xdr:cNvPr id="11" name="Gráfico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22</xdr:col>
      <xdr:colOff>13608</xdr:colOff>
      <xdr:row>1</xdr:row>
      <xdr:rowOff>0</xdr:rowOff>
    </xdr:to>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0" y="353786"/>
          <a:ext cx="14301108" cy="598714"/>
        </a:xfrm>
        <a:prstGeom prst="rect">
          <a:avLst/>
        </a:prstGeom>
        <a:solidFill>
          <a:schemeClr val="accent4">
            <a:lumMod val="20000"/>
            <a:lumOff val="80000"/>
          </a:schemeClr>
        </a:solidFill>
        <a:ln w="38100" cmpd="sng">
          <a:solidFill>
            <a:schemeClr val="lt1">
              <a:shade val="50000"/>
            </a:schemeClr>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419" sz="1600" b="1" i="0">
              <a:solidFill>
                <a:schemeClr val="dk1"/>
              </a:solidFill>
              <a:effectLst/>
              <a:latin typeface="+mn-lt"/>
              <a:ea typeface="+mn-ea"/>
              <a:cs typeface="+mn-cs"/>
            </a:rPr>
            <a:t>How to use APPLES-motivation ...</a:t>
          </a:r>
          <a:br>
            <a:rPr lang="es-419" sz="1600" b="0" i="0">
              <a:solidFill>
                <a:schemeClr val="dk1"/>
              </a:solidFill>
              <a:effectLst/>
              <a:latin typeface="+mn-lt"/>
              <a:ea typeface="+mn-ea"/>
              <a:cs typeface="+mn-cs"/>
            </a:rPr>
          </a:br>
          <a:r>
            <a:rPr lang="es-419" sz="1400" b="0" i="0">
              <a:solidFill>
                <a:schemeClr val="dk1"/>
              </a:solidFill>
              <a:effectLst/>
              <a:latin typeface="+mn-lt"/>
              <a:ea typeface="+mn-ea"/>
              <a:cs typeface="+mn-cs"/>
            </a:rPr>
            <a:t>Go through each adoption driver by selecting those aligned to the company’s case</a:t>
          </a:r>
          <a:endParaRPr lang="es-419"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673474</xdr:colOff>
      <xdr:row>3</xdr:row>
      <xdr:rowOff>129988</xdr:rowOff>
    </xdr:from>
    <xdr:to>
      <xdr:col>3</xdr:col>
      <xdr:colOff>823341</xdr:colOff>
      <xdr:row>3</xdr:row>
      <xdr:rowOff>265823</xdr:rowOff>
    </xdr:to>
    <xdr:sp macro="" textlink="">
      <xdr:nvSpPr>
        <xdr:cNvPr id="2" name="Flecha: hacia abajo 1">
          <a:extLst>
            <a:ext uri="{FF2B5EF4-FFF2-40B4-BE49-F238E27FC236}">
              <a16:creationId xmlns:a16="http://schemas.microsoft.com/office/drawing/2014/main" id="{00000000-0008-0000-0200-000002000000}"/>
            </a:ext>
          </a:extLst>
        </xdr:cNvPr>
        <xdr:cNvSpPr/>
      </xdr:nvSpPr>
      <xdr:spPr>
        <a:xfrm>
          <a:off x="4788274" y="377638"/>
          <a:ext cx="14986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1</xdr:col>
      <xdr:colOff>3652290</xdr:colOff>
      <xdr:row>0</xdr:row>
      <xdr:rowOff>65822</xdr:rowOff>
    </xdr:from>
    <xdr:to>
      <xdr:col>1</xdr:col>
      <xdr:colOff>3788125</xdr:colOff>
      <xdr:row>0</xdr:row>
      <xdr:rowOff>215689</xdr:rowOff>
    </xdr:to>
    <xdr:sp macro="" textlink="">
      <xdr:nvSpPr>
        <xdr:cNvPr id="4" name="Flecha: hacia abajo 3">
          <a:extLst>
            <a:ext uri="{FF2B5EF4-FFF2-40B4-BE49-F238E27FC236}">
              <a16:creationId xmlns:a16="http://schemas.microsoft.com/office/drawing/2014/main" id="{00000000-0008-0000-0200-000004000000}"/>
            </a:ext>
          </a:extLst>
        </xdr:cNvPr>
        <xdr:cNvSpPr/>
      </xdr:nvSpPr>
      <xdr:spPr>
        <a:xfrm rot="16200000">
          <a:off x="3645274" y="72838"/>
          <a:ext cx="149867" cy="135835"/>
        </a:xfrm>
        <a:prstGeom prst="downArrow">
          <a:avLst/>
        </a:prstGeom>
        <a:solidFill>
          <a:srgbClr val="FF0000"/>
        </a:solidFill>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5</xdr:col>
      <xdr:colOff>4965</xdr:colOff>
      <xdr:row>3</xdr:row>
      <xdr:rowOff>367862</xdr:rowOff>
    </xdr:from>
    <xdr:to>
      <xdr:col>9</xdr:col>
      <xdr:colOff>571500</xdr:colOff>
      <xdr:row>7</xdr:row>
      <xdr:rowOff>341586</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6</xdr:col>
          <xdr:colOff>485775</xdr:colOff>
          <xdr:row>1</xdr:row>
          <xdr:rowOff>161925</xdr:rowOff>
        </xdr:from>
        <xdr:to>
          <xdr:col>7</xdr:col>
          <xdr:colOff>447675</xdr:colOff>
          <xdr:row>2</xdr:row>
          <xdr:rowOff>190500</xdr:rowOff>
        </xdr:to>
        <xdr:sp macro="" textlink="">
          <xdr:nvSpPr>
            <xdr:cNvPr id="1033" name="Botó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Clean data</a:t>
              </a:r>
            </a:p>
          </xdr:txBody>
        </xdr:sp>
        <xdr:clientData fPrintsWithSheet="0"/>
      </xdr:twoCellAnchor>
    </mc:Choice>
    <mc:Fallback/>
  </mc:AlternateContent>
  <xdr:twoCellAnchor>
    <xdr:from>
      <xdr:col>6</xdr:col>
      <xdr:colOff>695325</xdr:colOff>
      <xdr:row>11</xdr:row>
      <xdr:rowOff>57150</xdr:rowOff>
    </xdr:from>
    <xdr:to>
      <xdr:col>11</xdr:col>
      <xdr:colOff>747510</xdr:colOff>
      <xdr:row>17</xdr:row>
      <xdr:rowOff>259474</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xdr:rowOff>
    </xdr:from>
    <xdr:to>
      <xdr:col>33</xdr:col>
      <xdr:colOff>57150</xdr:colOff>
      <xdr:row>1</xdr:row>
      <xdr:rowOff>24848</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0" y="1"/>
          <a:ext cx="11677650" cy="443947"/>
        </a:xfrm>
        <a:prstGeom prst="rect">
          <a:avLst/>
        </a:prstGeom>
        <a:solidFill>
          <a:schemeClr val="accent4">
            <a:lumMod val="20000"/>
            <a:lumOff val="80000"/>
          </a:schemeClr>
        </a:solidFill>
        <a:ln w="38100" cmpd="sng">
          <a:solidFill>
            <a:schemeClr val="lt1">
              <a:shade val="50000"/>
            </a:schemeClr>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lIns="91440" tIns="0" rIns="91440" bIns="0" rtlCol="0" anchor="t"/>
        <a:lstStyle/>
        <a:p>
          <a:pPr algn="l"/>
          <a:r>
            <a:rPr lang="es-419" sz="1200" b="1" i="0">
              <a:solidFill>
                <a:schemeClr val="dk1"/>
              </a:solidFill>
              <a:effectLst/>
              <a:latin typeface="+mn-lt"/>
              <a:ea typeface="+mn-ea"/>
              <a:cs typeface="+mn-cs"/>
            </a:rPr>
            <a:t>How to use APPLIES</a:t>
          </a:r>
          <a:r>
            <a:rPr lang="es-419" sz="1200" b="1" i="0" baseline="0">
              <a:solidFill>
                <a:schemeClr val="dk1"/>
              </a:solidFill>
              <a:effectLst/>
              <a:latin typeface="+mn-lt"/>
              <a:ea typeface="+mn-ea"/>
              <a:cs typeface="+mn-cs"/>
            </a:rPr>
            <a:t>-preparation</a:t>
          </a:r>
          <a:r>
            <a:rPr lang="es-419" sz="1200" b="1" i="0">
              <a:solidFill>
                <a:schemeClr val="dk1"/>
              </a:solidFill>
              <a:effectLst/>
              <a:latin typeface="+mn-lt"/>
              <a:ea typeface="+mn-ea"/>
              <a:cs typeface="+mn-cs"/>
            </a:rPr>
            <a:t> </a:t>
          </a:r>
          <a:r>
            <a:rPr lang="es-419" sz="1400" b="0" i="0" baseline="0">
              <a:solidFill>
                <a:schemeClr val="dk1"/>
              </a:solidFill>
              <a:effectLst/>
              <a:latin typeface="+mn-lt"/>
              <a:ea typeface="+mn-ea"/>
              <a:cs typeface="+mn-cs"/>
            </a:rPr>
            <a:t>... </a:t>
          </a:r>
          <a:r>
            <a:rPr lang="es-419" sz="1400" b="0" i="0">
              <a:solidFill>
                <a:schemeClr val="dk1"/>
              </a:solidFill>
              <a:effectLst/>
              <a:latin typeface="+mn-lt"/>
              <a:ea typeface="+mn-ea"/>
              <a:cs typeface="+mn-cs"/>
            </a:rPr>
            <a:t> </a:t>
          </a:r>
          <a:br>
            <a:rPr lang="es-419" sz="1600" b="0" i="0">
              <a:solidFill>
                <a:schemeClr val="dk1"/>
              </a:solidFill>
              <a:effectLst/>
              <a:latin typeface="+mn-lt"/>
              <a:ea typeface="+mn-ea"/>
              <a:cs typeface="+mn-cs"/>
            </a:rPr>
          </a:br>
          <a:r>
            <a:rPr lang="es-419" sz="1000" b="1" i="0">
              <a:solidFill>
                <a:schemeClr val="dk1"/>
              </a:solidFill>
              <a:effectLst/>
              <a:latin typeface="+mn-lt"/>
              <a:ea typeface="+mn-ea"/>
              <a:cs typeface="+mn-cs"/>
            </a:rPr>
            <a:t>Go through each assessment criterion and rate their sub-criteria.</a:t>
          </a:r>
          <a:r>
            <a:rPr lang="es-419" sz="1000" b="0" i="0">
              <a:solidFill>
                <a:schemeClr val="dk1"/>
              </a:solidFill>
              <a:effectLst/>
              <a:latin typeface="+mn-lt"/>
              <a:ea typeface="+mn-ea"/>
              <a:cs typeface="+mn-cs"/>
            </a:rPr>
            <a:t> This</a:t>
          </a:r>
          <a:r>
            <a:rPr lang="es-419" sz="1000" b="0" i="0" baseline="0">
              <a:solidFill>
                <a:schemeClr val="dk1"/>
              </a:solidFill>
              <a:effectLst/>
              <a:latin typeface="+mn-lt"/>
              <a:ea typeface="+mn-ea"/>
              <a:cs typeface="+mn-cs"/>
            </a:rPr>
            <a:t> tool</a:t>
          </a:r>
          <a:r>
            <a:rPr lang="es-419" sz="1000" b="0" i="0">
              <a:solidFill>
                <a:schemeClr val="dk1"/>
              </a:solidFill>
              <a:effectLst/>
              <a:latin typeface="+mn-lt"/>
              <a:ea typeface="+mn-ea"/>
              <a:cs typeface="+mn-cs"/>
            </a:rPr>
            <a:t> automatically computes the score of each assessment criteria and updates the resulting charts</a:t>
          </a:r>
          <a:r>
            <a:rPr lang="es-419" sz="1000" b="0" i="0" baseline="0">
              <a:solidFill>
                <a:schemeClr val="dk1"/>
              </a:solidFill>
              <a:effectLst/>
              <a:latin typeface="+mn-lt"/>
              <a:ea typeface="+mn-ea"/>
              <a:cs typeface="+mn-cs"/>
            </a:rPr>
            <a:t> which are visible in the sheet "Preparation results"</a:t>
          </a:r>
          <a:r>
            <a:rPr lang="es-419" sz="1000" b="0" i="0">
              <a:solidFill>
                <a:schemeClr val="dk1"/>
              </a:solidFill>
              <a:effectLst/>
              <a:latin typeface="+mn-lt"/>
              <a:ea typeface="+mn-ea"/>
              <a:cs typeface="+mn-cs"/>
            </a:rPr>
            <a:t>.</a:t>
          </a:r>
        </a:p>
        <a:p>
          <a:pPr algn="l"/>
          <a:r>
            <a:rPr lang="es-419" sz="1000" b="1"/>
            <a:t>NOTICE THAT </a:t>
          </a:r>
          <a:r>
            <a:rPr lang="es-419" sz="1000"/>
            <a:t>In case you are unsure whether a statement is true or not in your company select the “Don’t know" option. In case you consider a statement does not apply to your company’s case, kindly select “N/A.” This option will eliminate the N/A values from the overall score providing you with a more accurate result.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66319</xdr:rowOff>
    </xdr:from>
    <xdr:to>
      <xdr:col>13</xdr:col>
      <xdr:colOff>384324</xdr:colOff>
      <xdr:row>57</xdr:row>
      <xdr:rowOff>168088</xdr:rowOff>
    </xdr:to>
    <xdr:grpSp>
      <xdr:nvGrpSpPr>
        <xdr:cNvPr id="24" name="Grupo 23">
          <a:extLst>
            <a:ext uri="{FF2B5EF4-FFF2-40B4-BE49-F238E27FC236}">
              <a16:creationId xmlns:a16="http://schemas.microsoft.com/office/drawing/2014/main" id="{00000000-0008-0000-0400-000018000000}"/>
            </a:ext>
          </a:extLst>
        </xdr:cNvPr>
        <xdr:cNvGrpSpPr/>
      </xdr:nvGrpSpPr>
      <xdr:grpSpPr>
        <a:xfrm>
          <a:off x="0" y="1735995"/>
          <a:ext cx="11534177" cy="10153446"/>
          <a:chOff x="4998066" y="251520"/>
          <a:chExt cx="10865308" cy="9409780"/>
        </a:xfrm>
      </xdr:grpSpPr>
      <xdr:grpSp>
        <xdr:nvGrpSpPr>
          <xdr:cNvPr id="2" name="Grupo 1">
            <a:extLst>
              <a:ext uri="{FF2B5EF4-FFF2-40B4-BE49-F238E27FC236}">
                <a16:creationId xmlns:a16="http://schemas.microsoft.com/office/drawing/2014/main" id="{00000000-0008-0000-0400-000002000000}"/>
              </a:ext>
            </a:extLst>
          </xdr:cNvPr>
          <xdr:cNvGrpSpPr/>
        </xdr:nvGrpSpPr>
        <xdr:grpSpPr>
          <a:xfrm>
            <a:off x="4998066" y="251520"/>
            <a:ext cx="10865308" cy="9409780"/>
            <a:chOff x="16448615" y="22313878"/>
            <a:chExt cx="10886230" cy="8110083"/>
          </a:xfrm>
        </xdr:grpSpPr>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21798806" y="26239436"/>
            <a:ext cx="5210018" cy="411894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16448615" y="22313878"/>
            <a:ext cx="5055856" cy="413024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16526336" y="26244298"/>
            <a:ext cx="4901338" cy="417966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Gráfico 4">
              <a:extLst>
                <a:ext uri="{FF2B5EF4-FFF2-40B4-BE49-F238E27FC236}">
                  <a16:creationId xmlns:a16="http://schemas.microsoft.com/office/drawing/2014/main" id="{00000000-0008-0000-0400-000005000000}"/>
                </a:ext>
              </a:extLst>
            </xdr:cNvPr>
            <xdr:cNvGraphicFramePr>
              <a:graphicFrameLocks/>
            </xdr:cNvGraphicFramePr>
          </xdr:nvGraphicFramePr>
          <xdr:xfrm>
            <a:off x="21757227" y="22369662"/>
            <a:ext cx="5577618" cy="4168986"/>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11" name="Grupo 10">
            <a:extLst>
              <a:ext uri="{FF2B5EF4-FFF2-40B4-BE49-F238E27FC236}">
                <a16:creationId xmlns:a16="http://schemas.microsoft.com/office/drawing/2014/main" id="{00000000-0008-0000-0400-00000B000000}"/>
              </a:ext>
            </a:extLst>
          </xdr:cNvPr>
          <xdr:cNvGrpSpPr/>
        </xdr:nvGrpSpPr>
        <xdr:grpSpPr>
          <a:xfrm>
            <a:off x="5773410" y="740896"/>
            <a:ext cx="4208393" cy="245181"/>
            <a:chOff x="5758842" y="740896"/>
            <a:chExt cx="4208393" cy="245181"/>
          </a:xfrm>
        </xdr:grpSpPr>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5758842" y="742711"/>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9" name="CuadroTexto 8">
              <a:extLst>
                <a:ext uri="{FF2B5EF4-FFF2-40B4-BE49-F238E27FC236}">
                  <a16:creationId xmlns:a16="http://schemas.microsoft.com/office/drawing/2014/main" id="{00000000-0008-0000-0400-000009000000}"/>
                </a:ext>
              </a:extLst>
            </xdr:cNvPr>
            <xdr:cNvSpPr txBox="1"/>
          </xdr:nvSpPr>
          <xdr:spPr>
            <a:xfrm>
              <a:off x="7502523" y="740896"/>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9005209" y="75287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2" name="Grupo 11">
            <a:extLst>
              <a:ext uri="{FF2B5EF4-FFF2-40B4-BE49-F238E27FC236}">
                <a16:creationId xmlns:a16="http://schemas.microsoft.com/office/drawing/2014/main" id="{00000000-0008-0000-0400-00000C000000}"/>
              </a:ext>
            </a:extLst>
          </xdr:cNvPr>
          <xdr:cNvGrpSpPr/>
        </xdr:nvGrpSpPr>
        <xdr:grpSpPr>
          <a:xfrm>
            <a:off x="5648569" y="9043502"/>
            <a:ext cx="4094390" cy="242722"/>
            <a:chOff x="5642405" y="2007588"/>
            <a:chExt cx="4094390" cy="242722"/>
          </a:xfrm>
        </xdr:grpSpPr>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5642405" y="20171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337856" y="200758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8774769" y="2007589"/>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6" name="Grupo 15">
            <a:extLst>
              <a:ext uri="{FF2B5EF4-FFF2-40B4-BE49-F238E27FC236}">
                <a16:creationId xmlns:a16="http://schemas.microsoft.com/office/drawing/2014/main" id="{00000000-0008-0000-0400-000010000000}"/>
              </a:ext>
            </a:extLst>
          </xdr:cNvPr>
          <xdr:cNvGrpSpPr/>
        </xdr:nvGrpSpPr>
        <xdr:grpSpPr>
          <a:xfrm flipH="1">
            <a:off x="10333708" y="768476"/>
            <a:ext cx="4359119" cy="241785"/>
            <a:chOff x="5008476" y="750547"/>
            <a:chExt cx="4359119" cy="241785"/>
          </a:xfrm>
        </xdr:grpSpPr>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5008476" y="759127"/>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8" name="CuadroTexto 17">
              <a:extLst>
                <a:ext uri="{FF2B5EF4-FFF2-40B4-BE49-F238E27FC236}">
                  <a16:creationId xmlns:a16="http://schemas.microsoft.com/office/drawing/2014/main" id="{00000000-0008-0000-0400-000012000000}"/>
                </a:ext>
              </a:extLst>
            </xdr:cNvPr>
            <xdr:cNvSpPr txBox="1"/>
          </xdr:nvSpPr>
          <xdr:spPr>
            <a:xfrm>
              <a:off x="6859004" y="7580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8405569" y="750547"/>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20" name="Grupo 19">
            <a:extLst>
              <a:ext uri="{FF2B5EF4-FFF2-40B4-BE49-F238E27FC236}">
                <a16:creationId xmlns:a16="http://schemas.microsoft.com/office/drawing/2014/main" id="{00000000-0008-0000-0400-000014000000}"/>
              </a:ext>
            </a:extLst>
          </xdr:cNvPr>
          <xdr:cNvGrpSpPr/>
        </xdr:nvGrpSpPr>
        <xdr:grpSpPr>
          <a:xfrm flipH="1">
            <a:off x="10226795" y="9096237"/>
            <a:ext cx="4312650" cy="249761"/>
            <a:chOff x="5157376" y="2056702"/>
            <a:chExt cx="4312650" cy="249761"/>
          </a:xfrm>
        </xdr:grpSpPr>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5157376" y="207157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22" name="CuadroTexto 21">
              <a:extLst>
                <a:ext uri="{FF2B5EF4-FFF2-40B4-BE49-F238E27FC236}">
                  <a16:creationId xmlns:a16="http://schemas.microsoft.com/office/drawing/2014/main" id="{00000000-0008-0000-0400-000016000000}"/>
                </a:ext>
              </a:extLst>
            </xdr:cNvPr>
            <xdr:cNvSpPr txBox="1"/>
          </xdr:nvSpPr>
          <xdr:spPr>
            <a:xfrm>
              <a:off x="6948308" y="207325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8508000" y="205670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clientData/>
  </xdr:twoCellAnchor>
  <xdr:oneCellAnchor>
    <xdr:from>
      <xdr:col>3</xdr:col>
      <xdr:colOff>329046</xdr:colOff>
      <xdr:row>6</xdr:row>
      <xdr:rowOff>138545</xdr:rowOff>
    </xdr:from>
    <xdr:ext cx="184731" cy="264560"/>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8364682" y="32904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oneCellAnchor>
    <xdr:from>
      <xdr:col>1</xdr:col>
      <xdr:colOff>260946</xdr:colOff>
      <xdr:row>46</xdr:row>
      <xdr:rowOff>126344</xdr:rowOff>
    </xdr:from>
    <xdr:ext cx="133483" cy="191166"/>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5909271" y="8013044"/>
          <a:ext cx="133483" cy="1911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6061</xdr:colOff>
      <xdr:row>1</xdr:row>
      <xdr:rowOff>133349</xdr:rowOff>
    </xdr:from>
    <xdr:to>
      <xdr:col>17</xdr:col>
      <xdr:colOff>666750</xdr:colOff>
      <xdr:row>8</xdr:row>
      <xdr:rowOff>190499</xdr:rowOff>
    </xdr:to>
    <xdr:sp macro="" textlink="">
      <xdr:nvSpPr>
        <xdr:cNvPr id="3" name="Rectángulo 2">
          <a:extLst>
            <a:ext uri="{FF2B5EF4-FFF2-40B4-BE49-F238E27FC236}">
              <a16:creationId xmlns:a16="http://schemas.microsoft.com/office/drawing/2014/main" id="{00000000-0008-0000-0500-000003000000}"/>
            </a:ext>
          </a:extLst>
        </xdr:cNvPr>
        <xdr:cNvSpPr/>
      </xdr:nvSpPr>
      <xdr:spPr>
        <a:xfrm>
          <a:off x="359847" y="432706"/>
          <a:ext cx="15016224" cy="2043793"/>
        </a:xfrm>
        <a:prstGeom prst="rect">
          <a:avLst/>
        </a:prstGeom>
        <a:noFill/>
        <a:ln w="28575">
          <a:solidFill>
            <a:schemeClr val="bg1">
              <a:lumMod val="75000"/>
            </a:schemeClr>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5</xdr:col>
      <xdr:colOff>337187</xdr:colOff>
      <xdr:row>11</xdr:row>
      <xdr:rowOff>173879</xdr:rowOff>
    </xdr:from>
    <xdr:to>
      <xdr:col>15</xdr:col>
      <xdr:colOff>456967</xdr:colOff>
      <xdr:row>33</xdr:row>
      <xdr:rowOff>179294</xdr:rowOff>
    </xdr:to>
    <xdr:graphicFrame macro="">
      <xdr:nvGraphicFramePr>
        <xdr:cNvPr id="5" name="Gráfico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97142</xdr:colOff>
      <xdr:row>32</xdr:row>
      <xdr:rowOff>22416</xdr:rowOff>
    </xdr:from>
    <xdr:to>
      <xdr:col>4</xdr:col>
      <xdr:colOff>802822</xdr:colOff>
      <xdr:row>36</xdr:row>
      <xdr:rowOff>95251</xdr:rowOff>
    </xdr:to>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450928" y="7778487"/>
          <a:ext cx="6080501" cy="834835"/>
        </a:xfrm>
        <a:prstGeom prst="rect">
          <a:avLst/>
        </a:prstGeom>
        <a:ln/>
        <a:effectLst>
          <a:outerShdw blurRad="50800" dist="38100" dir="10800000" algn="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mn-lt"/>
              <a:ea typeface="+mn-ea"/>
              <a:cs typeface="+mn-cs"/>
            </a:rPr>
            <a:t>Informative note </a:t>
          </a:r>
        </a:p>
        <a:p>
          <a:r>
            <a:rPr lang="en-US" sz="1100">
              <a:solidFill>
                <a:schemeClr val="dk1"/>
              </a:solidFill>
              <a:effectLst/>
              <a:latin typeface="+mn-lt"/>
              <a:ea typeface="+mn-ea"/>
              <a:cs typeface="+mn-cs"/>
            </a:rPr>
            <a:t>This dynamic chart summarizes the performance of the assessment criterion under evaluation. As you change the data filters, the data on the chart will be automatically adjusted to your selection.  Notice that you can filter the results by “importance” and “dimension”. </a:t>
          </a:r>
          <a:endParaRPr lang="es-419" sz="1100">
            <a:solidFill>
              <a:schemeClr val="dk1"/>
            </a:solidFill>
            <a:effectLst/>
            <a:latin typeface="+mn-lt"/>
            <a:ea typeface="+mn-ea"/>
            <a:cs typeface="+mn-cs"/>
          </a:endParaRPr>
        </a:p>
      </xdr:txBody>
    </xdr:sp>
    <xdr:clientData/>
  </xdr:twoCellAnchor>
  <xdr:twoCellAnchor>
    <xdr:from>
      <xdr:col>0</xdr:col>
      <xdr:colOff>0</xdr:colOff>
      <xdr:row>37</xdr:row>
      <xdr:rowOff>66319</xdr:rowOff>
    </xdr:from>
    <xdr:to>
      <xdr:col>13</xdr:col>
      <xdr:colOff>384324</xdr:colOff>
      <xdr:row>87</xdr:row>
      <xdr:rowOff>168088</xdr:rowOff>
    </xdr:to>
    <xdr:grpSp>
      <xdr:nvGrpSpPr>
        <xdr:cNvPr id="8" name="Grupo 7">
          <a:extLst>
            <a:ext uri="{FF2B5EF4-FFF2-40B4-BE49-F238E27FC236}">
              <a16:creationId xmlns:a16="http://schemas.microsoft.com/office/drawing/2014/main" id="{00000000-0008-0000-0500-000008000000}"/>
            </a:ext>
          </a:extLst>
        </xdr:cNvPr>
        <xdr:cNvGrpSpPr/>
      </xdr:nvGrpSpPr>
      <xdr:grpSpPr>
        <a:xfrm>
          <a:off x="0" y="8774890"/>
          <a:ext cx="15173928" cy="9626769"/>
          <a:chOff x="4998066" y="251520"/>
          <a:chExt cx="10865308" cy="9409780"/>
        </a:xfrm>
      </xdr:grpSpPr>
      <xdr:grpSp>
        <xdr:nvGrpSpPr>
          <xdr:cNvPr id="9" name="Grupo 8">
            <a:extLst>
              <a:ext uri="{FF2B5EF4-FFF2-40B4-BE49-F238E27FC236}">
                <a16:creationId xmlns:a16="http://schemas.microsoft.com/office/drawing/2014/main" id="{00000000-0008-0000-0500-000009000000}"/>
              </a:ext>
            </a:extLst>
          </xdr:cNvPr>
          <xdr:cNvGrpSpPr/>
        </xdr:nvGrpSpPr>
        <xdr:grpSpPr>
          <a:xfrm>
            <a:off x="4998066" y="251520"/>
            <a:ext cx="10865308" cy="9409780"/>
            <a:chOff x="16448615" y="22313878"/>
            <a:chExt cx="10886230" cy="8110083"/>
          </a:xfrm>
        </xdr:grpSpPr>
        <xdr:graphicFrame macro="">
          <xdr:nvGraphicFramePr>
            <xdr:cNvPr id="26" name="Gráfico 25">
              <a:extLst>
                <a:ext uri="{FF2B5EF4-FFF2-40B4-BE49-F238E27FC236}">
                  <a16:creationId xmlns:a16="http://schemas.microsoft.com/office/drawing/2014/main" id="{00000000-0008-0000-0500-00001A000000}"/>
                </a:ext>
              </a:extLst>
            </xdr:cNvPr>
            <xdr:cNvGraphicFramePr>
              <a:graphicFrameLocks/>
            </xdr:cNvGraphicFramePr>
          </xdr:nvGraphicFramePr>
          <xdr:xfrm>
            <a:off x="21798806" y="26239436"/>
            <a:ext cx="5210018" cy="411894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7" name="Gráfico 26">
              <a:extLst>
                <a:ext uri="{FF2B5EF4-FFF2-40B4-BE49-F238E27FC236}">
                  <a16:creationId xmlns:a16="http://schemas.microsoft.com/office/drawing/2014/main" id="{00000000-0008-0000-0500-00001B000000}"/>
                </a:ext>
              </a:extLst>
            </xdr:cNvPr>
            <xdr:cNvGraphicFramePr>
              <a:graphicFrameLocks/>
            </xdr:cNvGraphicFramePr>
          </xdr:nvGraphicFramePr>
          <xdr:xfrm>
            <a:off x="16448615" y="22313878"/>
            <a:ext cx="5055856" cy="413024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8" name="Gráfico 27">
              <a:extLst>
                <a:ext uri="{FF2B5EF4-FFF2-40B4-BE49-F238E27FC236}">
                  <a16:creationId xmlns:a16="http://schemas.microsoft.com/office/drawing/2014/main" id="{00000000-0008-0000-0500-00001C000000}"/>
                </a:ext>
              </a:extLst>
            </xdr:cNvPr>
            <xdr:cNvGraphicFramePr>
              <a:graphicFrameLocks/>
            </xdr:cNvGraphicFramePr>
          </xdr:nvGraphicFramePr>
          <xdr:xfrm>
            <a:off x="16526336" y="26244298"/>
            <a:ext cx="4901338" cy="417966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9" name="Gráfico 28">
              <a:extLst>
                <a:ext uri="{FF2B5EF4-FFF2-40B4-BE49-F238E27FC236}">
                  <a16:creationId xmlns:a16="http://schemas.microsoft.com/office/drawing/2014/main" id="{00000000-0008-0000-0500-00001D000000}"/>
                </a:ext>
              </a:extLst>
            </xdr:cNvPr>
            <xdr:cNvGraphicFramePr>
              <a:graphicFrameLocks/>
            </xdr:cNvGraphicFramePr>
          </xdr:nvGraphicFramePr>
          <xdr:xfrm>
            <a:off x="21757227" y="22369662"/>
            <a:ext cx="5577618" cy="4168986"/>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10" name="Grupo 9">
            <a:extLst>
              <a:ext uri="{FF2B5EF4-FFF2-40B4-BE49-F238E27FC236}">
                <a16:creationId xmlns:a16="http://schemas.microsoft.com/office/drawing/2014/main" id="{00000000-0008-0000-0500-00000A000000}"/>
              </a:ext>
            </a:extLst>
          </xdr:cNvPr>
          <xdr:cNvGrpSpPr/>
        </xdr:nvGrpSpPr>
        <xdr:grpSpPr>
          <a:xfrm>
            <a:off x="5773410" y="740896"/>
            <a:ext cx="4208393" cy="245181"/>
            <a:chOff x="5758842" y="740896"/>
            <a:chExt cx="4208393" cy="245181"/>
          </a:xfrm>
        </xdr:grpSpPr>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5758842" y="742711"/>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24" name="CuadroTexto 23">
              <a:extLst>
                <a:ext uri="{FF2B5EF4-FFF2-40B4-BE49-F238E27FC236}">
                  <a16:creationId xmlns:a16="http://schemas.microsoft.com/office/drawing/2014/main" id="{00000000-0008-0000-0500-000018000000}"/>
                </a:ext>
              </a:extLst>
            </xdr:cNvPr>
            <xdr:cNvSpPr txBox="1"/>
          </xdr:nvSpPr>
          <xdr:spPr>
            <a:xfrm>
              <a:off x="7502523" y="740896"/>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25" name="CuadroTexto 24">
              <a:extLst>
                <a:ext uri="{FF2B5EF4-FFF2-40B4-BE49-F238E27FC236}">
                  <a16:creationId xmlns:a16="http://schemas.microsoft.com/office/drawing/2014/main" id="{00000000-0008-0000-0500-000019000000}"/>
                </a:ext>
              </a:extLst>
            </xdr:cNvPr>
            <xdr:cNvSpPr txBox="1"/>
          </xdr:nvSpPr>
          <xdr:spPr>
            <a:xfrm>
              <a:off x="9005209" y="75287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1" name="Grupo 10">
            <a:extLst>
              <a:ext uri="{FF2B5EF4-FFF2-40B4-BE49-F238E27FC236}">
                <a16:creationId xmlns:a16="http://schemas.microsoft.com/office/drawing/2014/main" id="{00000000-0008-0000-0500-00000B000000}"/>
              </a:ext>
            </a:extLst>
          </xdr:cNvPr>
          <xdr:cNvGrpSpPr/>
        </xdr:nvGrpSpPr>
        <xdr:grpSpPr>
          <a:xfrm>
            <a:off x="5648569" y="9043502"/>
            <a:ext cx="4094390" cy="242722"/>
            <a:chOff x="5642405" y="2007588"/>
            <a:chExt cx="4094390" cy="242722"/>
          </a:xfrm>
        </xdr:grpSpPr>
        <xdr:sp macro="" textlink="">
          <xdr:nvSpPr>
            <xdr:cNvPr id="20" name="CuadroTexto 19">
              <a:extLst>
                <a:ext uri="{FF2B5EF4-FFF2-40B4-BE49-F238E27FC236}">
                  <a16:creationId xmlns:a16="http://schemas.microsoft.com/office/drawing/2014/main" id="{00000000-0008-0000-0500-000014000000}"/>
                </a:ext>
              </a:extLst>
            </xdr:cNvPr>
            <xdr:cNvSpPr txBox="1"/>
          </xdr:nvSpPr>
          <xdr:spPr>
            <a:xfrm>
              <a:off x="5642405" y="20171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7337856" y="200758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22" name="CuadroTexto 21">
              <a:extLst>
                <a:ext uri="{FF2B5EF4-FFF2-40B4-BE49-F238E27FC236}">
                  <a16:creationId xmlns:a16="http://schemas.microsoft.com/office/drawing/2014/main" id="{00000000-0008-0000-0500-000016000000}"/>
                </a:ext>
              </a:extLst>
            </xdr:cNvPr>
            <xdr:cNvSpPr txBox="1"/>
          </xdr:nvSpPr>
          <xdr:spPr>
            <a:xfrm>
              <a:off x="8774769" y="2007589"/>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2" name="Grupo 11">
            <a:extLst>
              <a:ext uri="{FF2B5EF4-FFF2-40B4-BE49-F238E27FC236}">
                <a16:creationId xmlns:a16="http://schemas.microsoft.com/office/drawing/2014/main" id="{00000000-0008-0000-0500-00000C000000}"/>
              </a:ext>
            </a:extLst>
          </xdr:cNvPr>
          <xdr:cNvGrpSpPr/>
        </xdr:nvGrpSpPr>
        <xdr:grpSpPr>
          <a:xfrm flipH="1">
            <a:off x="10333708" y="768476"/>
            <a:ext cx="4359119" cy="241785"/>
            <a:chOff x="5008476" y="750547"/>
            <a:chExt cx="4359119" cy="241785"/>
          </a:xfrm>
        </xdr:grpSpPr>
        <xdr:sp macro="" textlink="">
          <xdr:nvSpPr>
            <xdr:cNvPr id="17" name="CuadroTexto 16">
              <a:extLst>
                <a:ext uri="{FF2B5EF4-FFF2-40B4-BE49-F238E27FC236}">
                  <a16:creationId xmlns:a16="http://schemas.microsoft.com/office/drawing/2014/main" id="{00000000-0008-0000-0500-000011000000}"/>
                </a:ext>
              </a:extLst>
            </xdr:cNvPr>
            <xdr:cNvSpPr txBox="1"/>
          </xdr:nvSpPr>
          <xdr:spPr>
            <a:xfrm>
              <a:off x="5008476" y="759127"/>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8" name="CuadroTexto 17">
              <a:extLst>
                <a:ext uri="{FF2B5EF4-FFF2-40B4-BE49-F238E27FC236}">
                  <a16:creationId xmlns:a16="http://schemas.microsoft.com/office/drawing/2014/main" id="{00000000-0008-0000-0500-000012000000}"/>
                </a:ext>
              </a:extLst>
            </xdr:cNvPr>
            <xdr:cNvSpPr txBox="1"/>
          </xdr:nvSpPr>
          <xdr:spPr>
            <a:xfrm>
              <a:off x="6859004" y="7580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9" name="CuadroTexto 18">
              <a:extLst>
                <a:ext uri="{FF2B5EF4-FFF2-40B4-BE49-F238E27FC236}">
                  <a16:creationId xmlns:a16="http://schemas.microsoft.com/office/drawing/2014/main" id="{00000000-0008-0000-0500-000013000000}"/>
                </a:ext>
              </a:extLst>
            </xdr:cNvPr>
            <xdr:cNvSpPr txBox="1"/>
          </xdr:nvSpPr>
          <xdr:spPr>
            <a:xfrm>
              <a:off x="8405569" y="750547"/>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3" name="Grupo 12">
            <a:extLst>
              <a:ext uri="{FF2B5EF4-FFF2-40B4-BE49-F238E27FC236}">
                <a16:creationId xmlns:a16="http://schemas.microsoft.com/office/drawing/2014/main" id="{00000000-0008-0000-0500-00000D000000}"/>
              </a:ext>
            </a:extLst>
          </xdr:cNvPr>
          <xdr:cNvGrpSpPr/>
        </xdr:nvGrpSpPr>
        <xdr:grpSpPr>
          <a:xfrm flipH="1">
            <a:off x="10226795" y="9096237"/>
            <a:ext cx="4312650" cy="249761"/>
            <a:chOff x="5157376" y="2056702"/>
            <a:chExt cx="4312650" cy="249761"/>
          </a:xfrm>
        </xdr:grpSpPr>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5157376" y="207157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5" name="CuadroTexto 14">
              <a:extLst>
                <a:ext uri="{FF2B5EF4-FFF2-40B4-BE49-F238E27FC236}">
                  <a16:creationId xmlns:a16="http://schemas.microsoft.com/office/drawing/2014/main" id="{00000000-0008-0000-0500-00000F000000}"/>
                </a:ext>
              </a:extLst>
            </xdr:cNvPr>
            <xdr:cNvSpPr txBox="1"/>
          </xdr:nvSpPr>
          <xdr:spPr>
            <a:xfrm>
              <a:off x="6948308" y="207325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6" name="CuadroTexto 15">
              <a:extLst>
                <a:ext uri="{FF2B5EF4-FFF2-40B4-BE49-F238E27FC236}">
                  <a16:creationId xmlns:a16="http://schemas.microsoft.com/office/drawing/2014/main" id="{00000000-0008-0000-0500-000010000000}"/>
                </a:ext>
              </a:extLst>
            </xdr:cNvPr>
            <xdr:cNvSpPr txBox="1"/>
          </xdr:nvSpPr>
          <xdr:spPr>
            <a:xfrm>
              <a:off x="8508000" y="205670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clientData/>
  </xdr:twoCellAnchor>
  <xdr:oneCellAnchor>
    <xdr:from>
      <xdr:col>3</xdr:col>
      <xdr:colOff>329046</xdr:colOff>
      <xdr:row>36</xdr:row>
      <xdr:rowOff>138545</xdr:rowOff>
    </xdr:from>
    <xdr:ext cx="184731" cy="264560"/>
    <xdr:sp macro="" textlink="">
      <xdr:nvSpPr>
        <xdr:cNvPr id="30" name="CuadroTexto 29">
          <a:extLst>
            <a:ext uri="{FF2B5EF4-FFF2-40B4-BE49-F238E27FC236}">
              <a16:creationId xmlns:a16="http://schemas.microsoft.com/office/drawing/2014/main" id="{00000000-0008-0000-0500-00001E000000}"/>
            </a:ext>
          </a:extLst>
        </xdr:cNvPr>
        <xdr:cNvSpPr txBox="1"/>
      </xdr:nvSpPr>
      <xdr:spPr>
        <a:xfrm>
          <a:off x="2615046" y="1614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oneCellAnchor>
    <xdr:from>
      <xdr:col>1</xdr:col>
      <xdr:colOff>260946</xdr:colOff>
      <xdr:row>76</xdr:row>
      <xdr:rowOff>126344</xdr:rowOff>
    </xdr:from>
    <xdr:ext cx="133483" cy="191166"/>
    <xdr:sp macro="" textlink="">
      <xdr:nvSpPr>
        <xdr:cNvPr id="31" name="CuadroTexto 30">
          <a:extLst>
            <a:ext uri="{FF2B5EF4-FFF2-40B4-BE49-F238E27FC236}">
              <a16:creationId xmlns:a16="http://schemas.microsoft.com/office/drawing/2014/main" id="{00000000-0008-0000-0500-00001F000000}"/>
            </a:ext>
          </a:extLst>
        </xdr:cNvPr>
        <xdr:cNvSpPr txBox="1"/>
      </xdr:nvSpPr>
      <xdr:spPr>
        <a:xfrm>
          <a:off x="1022946" y="9756119"/>
          <a:ext cx="133483" cy="1911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6</xdr:col>
      <xdr:colOff>281667</xdr:colOff>
      <xdr:row>10</xdr:row>
      <xdr:rowOff>29936</xdr:rowOff>
    </xdr:from>
    <xdr:to>
      <xdr:col>13</xdr:col>
      <xdr:colOff>457199</xdr:colOff>
      <xdr:row>31</xdr:row>
      <xdr:rowOff>87086</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503465</xdr:colOff>
      <xdr:row>10</xdr:row>
      <xdr:rowOff>0</xdr:rowOff>
    </xdr:from>
    <xdr:to>
      <xdr:col>23</xdr:col>
      <xdr:colOff>284390</xdr:colOff>
      <xdr:row>31</xdr:row>
      <xdr:rowOff>57150</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259772</xdr:colOff>
      <xdr:row>33</xdr:row>
      <xdr:rowOff>0</xdr:rowOff>
    </xdr:from>
    <xdr:to>
      <xdr:col>13</xdr:col>
      <xdr:colOff>435304</xdr:colOff>
      <xdr:row>54</xdr:row>
      <xdr:rowOff>57150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357188</xdr:colOff>
      <xdr:row>33</xdr:row>
      <xdr:rowOff>119063</xdr:rowOff>
    </xdr:from>
    <xdr:to>
      <xdr:col>23</xdr:col>
      <xdr:colOff>366033</xdr:colOff>
      <xdr:row>54</xdr:row>
      <xdr:rowOff>176213</xdr:rowOff>
    </xdr:to>
    <xdr:graphicFrame macro="">
      <xdr:nvGraphicFramePr>
        <xdr:cNvPr id="6" name="Gráfico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389594</xdr:colOff>
      <xdr:row>56</xdr:row>
      <xdr:rowOff>118381</xdr:rowOff>
    </xdr:from>
    <xdr:to>
      <xdr:col>8</xdr:col>
      <xdr:colOff>544286</xdr:colOff>
      <xdr:row>80</xdr:row>
      <xdr:rowOff>176892</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408215</xdr:colOff>
      <xdr:row>56</xdr:row>
      <xdr:rowOff>108857</xdr:rowOff>
    </xdr:from>
    <xdr:to>
      <xdr:col>16</xdr:col>
      <xdr:colOff>278947</xdr:colOff>
      <xdr:row>80</xdr:row>
      <xdr:rowOff>167368</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476250</xdr:colOff>
      <xdr:row>79</xdr:row>
      <xdr:rowOff>92457</xdr:rowOff>
    </xdr:from>
    <xdr:to>
      <xdr:col>8</xdr:col>
      <xdr:colOff>630942</xdr:colOff>
      <xdr:row>103</xdr:row>
      <xdr:rowOff>150968</xdr:rowOff>
    </xdr:to>
    <xdr:graphicFrame macro="">
      <xdr:nvGraphicFramePr>
        <xdr:cNvPr id="9" name="Gráfico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155</xdr:row>
      <xdr:rowOff>0</xdr:rowOff>
    </xdr:from>
    <xdr:to>
      <xdr:col>6</xdr:col>
      <xdr:colOff>56902</xdr:colOff>
      <xdr:row>174</xdr:row>
      <xdr:rowOff>69273</xdr:rowOff>
    </xdr:to>
    <xdr:graphicFrame macro="">
      <xdr:nvGraphicFramePr>
        <xdr:cNvPr id="14" name="Gráfico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134</xdr:row>
      <xdr:rowOff>0</xdr:rowOff>
    </xdr:from>
    <xdr:to>
      <xdr:col>10</xdr:col>
      <xdr:colOff>555498</xdr:colOff>
      <xdr:row>153</xdr:row>
      <xdr:rowOff>3711</xdr:rowOff>
    </xdr:to>
    <xdr:graphicFrame macro="">
      <xdr:nvGraphicFramePr>
        <xdr:cNvPr id="19" name="Gráfico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133</xdr:row>
      <xdr:rowOff>163285</xdr:rowOff>
    </xdr:from>
    <xdr:to>
      <xdr:col>17</xdr:col>
      <xdr:colOff>378605</xdr:colOff>
      <xdr:row>152</xdr:row>
      <xdr:rowOff>166996</xdr:rowOff>
    </xdr:to>
    <xdr:graphicFrame macro="">
      <xdr:nvGraphicFramePr>
        <xdr:cNvPr id="25" name="Gráfico 24">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0</xdr:colOff>
      <xdr:row>147</xdr:row>
      <xdr:rowOff>172984</xdr:rowOff>
    </xdr:from>
    <xdr:to>
      <xdr:col>17</xdr:col>
      <xdr:colOff>378605</xdr:colOff>
      <xdr:row>166</xdr:row>
      <xdr:rowOff>176695</xdr:rowOff>
    </xdr:to>
    <xdr:graphicFrame macro="">
      <xdr:nvGraphicFramePr>
        <xdr:cNvPr id="24" name="Gráfico 23">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0</xdr:colOff>
      <xdr:row>149</xdr:row>
      <xdr:rowOff>62329</xdr:rowOff>
    </xdr:from>
    <xdr:to>
      <xdr:col>10</xdr:col>
      <xdr:colOff>555498</xdr:colOff>
      <xdr:row>168</xdr:row>
      <xdr:rowOff>66040</xdr:rowOff>
    </xdr:to>
    <xdr:graphicFrame macro="">
      <xdr:nvGraphicFramePr>
        <xdr:cNvPr id="18" name="Gráfico 17">
          <a:extLst>
            <a:ext uri="{FF2B5EF4-FFF2-40B4-BE49-F238E27FC236}">
              <a16:creationId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0</xdr:colOff>
      <xdr:row>219</xdr:row>
      <xdr:rowOff>0</xdr:rowOff>
    </xdr:from>
    <xdr:to>
      <xdr:col>10</xdr:col>
      <xdr:colOff>555498</xdr:colOff>
      <xdr:row>238</xdr:row>
      <xdr:rowOff>3711</xdr:rowOff>
    </xdr:to>
    <xdr:graphicFrame macro="">
      <xdr:nvGraphicFramePr>
        <xdr:cNvPr id="30" name="Gráfico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0</xdr:colOff>
      <xdr:row>218</xdr:row>
      <xdr:rowOff>163285</xdr:rowOff>
    </xdr:from>
    <xdr:to>
      <xdr:col>17</xdr:col>
      <xdr:colOff>378605</xdr:colOff>
      <xdr:row>237</xdr:row>
      <xdr:rowOff>166996</xdr:rowOff>
    </xdr:to>
    <xdr:graphicFrame macro="">
      <xdr:nvGraphicFramePr>
        <xdr:cNvPr id="31" name="Gráfico 30">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0</xdr:colOff>
      <xdr:row>234</xdr:row>
      <xdr:rowOff>51064</xdr:rowOff>
    </xdr:from>
    <xdr:to>
      <xdr:col>17</xdr:col>
      <xdr:colOff>378605</xdr:colOff>
      <xdr:row>253</xdr:row>
      <xdr:rowOff>54775</xdr:rowOff>
    </xdr:to>
    <xdr:graphicFrame macro="">
      <xdr:nvGraphicFramePr>
        <xdr:cNvPr id="32" name="Gráfico 31">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0</xdr:colOff>
      <xdr:row>234</xdr:row>
      <xdr:rowOff>62329</xdr:rowOff>
    </xdr:from>
    <xdr:to>
      <xdr:col>10</xdr:col>
      <xdr:colOff>555498</xdr:colOff>
      <xdr:row>253</xdr:row>
      <xdr:rowOff>66040</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0</xdr:colOff>
      <xdr:row>362</xdr:row>
      <xdr:rowOff>190499</xdr:rowOff>
    </xdr:from>
    <xdr:to>
      <xdr:col>12</xdr:col>
      <xdr:colOff>555498</xdr:colOff>
      <xdr:row>385</xdr:row>
      <xdr:rowOff>106679</xdr:rowOff>
    </xdr:to>
    <xdr:graphicFrame macro="">
      <xdr:nvGraphicFramePr>
        <xdr:cNvPr id="34" name="Gráfico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362</xdr:row>
      <xdr:rowOff>163284</xdr:rowOff>
    </xdr:from>
    <xdr:to>
      <xdr:col>19</xdr:col>
      <xdr:colOff>378605</xdr:colOff>
      <xdr:row>385</xdr:row>
      <xdr:rowOff>79464</xdr:rowOff>
    </xdr:to>
    <xdr:graphicFrame macro="">
      <xdr:nvGraphicFramePr>
        <xdr:cNvPr id="35" name="Gráfico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381</xdr:row>
      <xdr:rowOff>83820</xdr:rowOff>
    </xdr:from>
    <xdr:to>
      <xdr:col>19</xdr:col>
      <xdr:colOff>378605</xdr:colOff>
      <xdr:row>404</xdr:row>
      <xdr:rowOff>0</xdr:rowOff>
    </xdr:to>
    <xdr:graphicFrame macro="">
      <xdr:nvGraphicFramePr>
        <xdr:cNvPr id="36" name="Gráfico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xdr:col>
      <xdr:colOff>0</xdr:colOff>
      <xdr:row>381</xdr:row>
      <xdr:rowOff>83820</xdr:rowOff>
    </xdr:from>
    <xdr:to>
      <xdr:col>12</xdr:col>
      <xdr:colOff>555498</xdr:colOff>
      <xdr:row>404</xdr:row>
      <xdr:rowOff>0</xdr:rowOff>
    </xdr:to>
    <xdr:graphicFrame macro="">
      <xdr:nvGraphicFramePr>
        <xdr:cNvPr id="37" name="Gráfico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xdr:col>
      <xdr:colOff>0</xdr:colOff>
      <xdr:row>111</xdr:row>
      <xdr:rowOff>0</xdr:rowOff>
    </xdr:from>
    <xdr:to>
      <xdr:col>31</xdr:col>
      <xdr:colOff>378605</xdr:colOff>
      <xdr:row>147</xdr:row>
      <xdr:rowOff>55146</xdr:rowOff>
    </xdr:to>
    <xdr:grpSp>
      <xdr:nvGrpSpPr>
        <xdr:cNvPr id="5" name="Grupo 4">
          <a:extLst>
            <a:ext uri="{FF2B5EF4-FFF2-40B4-BE49-F238E27FC236}">
              <a16:creationId xmlns:a16="http://schemas.microsoft.com/office/drawing/2014/main" id="{00000000-0008-0000-0600-000005000000}"/>
            </a:ext>
          </a:extLst>
        </xdr:cNvPr>
        <xdr:cNvGrpSpPr/>
      </xdr:nvGrpSpPr>
      <xdr:grpSpPr>
        <a:xfrm>
          <a:off x="16833273" y="21890182"/>
          <a:ext cx="9834332" cy="8194691"/>
          <a:chOff x="16587107" y="22261286"/>
          <a:chExt cx="9849177" cy="7062824"/>
        </a:xfrm>
      </xdr:grpSpPr>
      <xdr:graphicFrame macro="">
        <xdr:nvGraphicFramePr>
          <xdr:cNvPr id="38" name="Gráfico 37">
            <a:extLst>
              <a:ext uri="{FF2B5EF4-FFF2-40B4-BE49-F238E27FC236}">
                <a16:creationId xmlns:a16="http://schemas.microsoft.com/office/drawing/2014/main" id="{00000000-0008-0000-0600-000026000000}"/>
              </a:ext>
            </a:extLst>
          </xdr:cNvPr>
          <xdr:cNvGraphicFramePr>
            <a:graphicFrameLocks/>
          </xdr:cNvGraphicFramePr>
        </xdr:nvGraphicFramePr>
        <xdr:xfrm>
          <a:off x="16587107" y="22261286"/>
          <a:ext cx="4692070" cy="4153889"/>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16587107" y="25670636"/>
          <a:ext cx="4692070" cy="3623211"/>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21485679" y="22261286"/>
          <a:ext cx="4950605" cy="4153889"/>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xdr:cNvGraphicFramePr>
        </xdr:nvGraphicFramePr>
        <xdr:xfrm>
          <a:off x="21485679" y="25700899"/>
          <a:ext cx="4950605" cy="3623211"/>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23</xdr:col>
      <xdr:colOff>0</xdr:colOff>
      <xdr:row>173</xdr:row>
      <xdr:rowOff>0</xdr:rowOff>
    </xdr:from>
    <xdr:to>
      <xdr:col>34</xdr:col>
      <xdr:colOff>378605</xdr:colOff>
      <xdr:row>207</xdr:row>
      <xdr:rowOff>55146</xdr:rowOff>
    </xdr:to>
    <xdr:grpSp>
      <xdr:nvGrpSpPr>
        <xdr:cNvPr id="44" name="Grupo 43">
          <a:extLst>
            <a:ext uri="{FF2B5EF4-FFF2-40B4-BE49-F238E27FC236}">
              <a16:creationId xmlns:a16="http://schemas.microsoft.com/office/drawing/2014/main" id="{00000000-0008-0000-0600-00002C000000}"/>
            </a:ext>
          </a:extLst>
        </xdr:cNvPr>
        <xdr:cNvGrpSpPr/>
      </xdr:nvGrpSpPr>
      <xdr:grpSpPr>
        <a:xfrm>
          <a:off x="19552227" y="34982727"/>
          <a:ext cx="9401378" cy="6532146"/>
          <a:chOff x="16587107" y="22261286"/>
          <a:chExt cx="9849177" cy="7062824"/>
        </a:xfrm>
      </xdr:grpSpPr>
      <xdr:graphicFrame macro="">
        <xdr:nvGraphicFramePr>
          <xdr:cNvPr id="45" name="Gráfico 44">
            <a:extLst>
              <a:ext uri="{FF2B5EF4-FFF2-40B4-BE49-F238E27FC236}">
                <a16:creationId xmlns:a16="http://schemas.microsoft.com/office/drawing/2014/main" id="{00000000-0008-0000-0600-00002D000000}"/>
              </a:ext>
            </a:extLst>
          </xdr:cNvPr>
          <xdr:cNvGraphicFramePr>
            <a:graphicFrameLocks/>
          </xdr:cNvGraphicFramePr>
        </xdr:nvGraphicFramePr>
        <xdr:xfrm>
          <a:off x="16587107" y="22261286"/>
          <a:ext cx="4692070" cy="4153889"/>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6" name="Gráfico 45">
            <a:extLst>
              <a:ext uri="{FF2B5EF4-FFF2-40B4-BE49-F238E27FC236}">
                <a16:creationId xmlns:a16="http://schemas.microsoft.com/office/drawing/2014/main" id="{00000000-0008-0000-0600-00002E000000}"/>
              </a:ext>
            </a:extLst>
          </xdr:cNvPr>
          <xdr:cNvGraphicFramePr>
            <a:graphicFrameLocks/>
          </xdr:cNvGraphicFramePr>
        </xdr:nvGraphicFramePr>
        <xdr:xfrm>
          <a:off x="16587107" y="25681849"/>
          <a:ext cx="4692070" cy="3623211"/>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47" name="Gráfico 46">
            <a:extLst>
              <a:ext uri="{FF2B5EF4-FFF2-40B4-BE49-F238E27FC236}">
                <a16:creationId xmlns:a16="http://schemas.microsoft.com/office/drawing/2014/main" id="{00000000-0008-0000-0600-00002F000000}"/>
              </a:ext>
            </a:extLst>
          </xdr:cNvPr>
          <xdr:cNvGraphicFramePr>
            <a:graphicFrameLocks/>
          </xdr:cNvGraphicFramePr>
        </xdr:nvGraphicFramePr>
        <xdr:xfrm>
          <a:off x="21485679" y="25700899"/>
          <a:ext cx="4950605" cy="3623211"/>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8" name="Gráfico 47">
            <a:extLst>
              <a:ext uri="{FF2B5EF4-FFF2-40B4-BE49-F238E27FC236}">
                <a16:creationId xmlns:a16="http://schemas.microsoft.com/office/drawing/2014/main" id="{00000000-0008-0000-0600-000030000000}"/>
              </a:ext>
            </a:extLst>
          </xdr:cNvPr>
          <xdr:cNvGraphicFramePr>
            <a:graphicFrameLocks/>
          </xdr:cNvGraphicFramePr>
        </xdr:nvGraphicFramePr>
        <xdr:xfrm>
          <a:off x="21485679" y="22261286"/>
          <a:ext cx="4950605" cy="4153889"/>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xdr:from>
      <xdr:col>21</xdr:col>
      <xdr:colOff>0</xdr:colOff>
      <xdr:row>222</xdr:row>
      <xdr:rowOff>0</xdr:rowOff>
    </xdr:from>
    <xdr:to>
      <xdr:col>32</xdr:col>
      <xdr:colOff>378605</xdr:colOff>
      <xdr:row>242</xdr:row>
      <xdr:rowOff>0</xdr:rowOff>
    </xdr:to>
    <xdr:grpSp>
      <xdr:nvGrpSpPr>
        <xdr:cNvPr id="55" name="Grupo 54">
          <a:extLst>
            <a:ext uri="{FF2B5EF4-FFF2-40B4-BE49-F238E27FC236}">
              <a16:creationId xmlns:a16="http://schemas.microsoft.com/office/drawing/2014/main" id="{00000000-0008-0000-0600-000037000000}"/>
            </a:ext>
          </a:extLst>
        </xdr:cNvPr>
        <xdr:cNvGrpSpPr/>
      </xdr:nvGrpSpPr>
      <xdr:grpSpPr>
        <a:xfrm>
          <a:off x="17595273" y="44317227"/>
          <a:ext cx="9834332" cy="3810000"/>
          <a:chOff x="16587107" y="22261286"/>
          <a:chExt cx="9849177" cy="7062824"/>
        </a:xfrm>
      </xdr:grpSpPr>
      <xdr:graphicFrame macro="">
        <xdr:nvGraphicFramePr>
          <xdr:cNvPr id="56" name="Gráfico 55">
            <a:extLst>
              <a:ext uri="{FF2B5EF4-FFF2-40B4-BE49-F238E27FC236}">
                <a16:creationId xmlns:a16="http://schemas.microsoft.com/office/drawing/2014/main" id="{00000000-0008-0000-0600-000038000000}"/>
              </a:ext>
            </a:extLst>
          </xdr:cNvPr>
          <xdr:cNvGraphicFramePr>
            <a:graphicFrameLocks/>
          </xdr:cNvGraphicFramePr>
        </xdr:nvGraphicFramePr>
        <xdr:xfrm>
          <a:off x="16587107" y="22261286"/>
          <a:ext cx="4692070" cy="4153889"/>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7" name="Gráfico 56">
            <a:extLst>
              <a:ext uri="{FF2B5EF4-FFF2-40B4-BE49-F238E27FC236}">
                <a16:creationId xmlns:a16="http://schemas.microsoft.com/office/drawing/2014/main" id="{00000000-0008-0000-0600-000039000000}"/>
              </a:ext>
            </a:extLst>
          </xdr:cNvPr>
          <xdr:cNvGraphicFramePr>
            <a:graphicFrameLocks/>
          </xdr:cNvGraphicFramePr>
        </xdr:nvGraphicFramePr>
        <xdr:xfrm>
          <a:off x="16587107" y="25681849"/>
          <a:ext cx="4692070" cy="3623211"/>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8" name="Gráfico 57">
            <a:extLst>
              <a:ext uri="{FF2B5EF4-FFF2-40B4-BE49-F238E27FC236}">
                <a16:creationId xmlns:a16="http://schemas.microsoft.com/office/drawing/2014/main" id="{00000000-0008-0000-0600-00003A000000}"/>
              </a:ext>
            </a:extLst>
          </xdr:cNvPr>
          <xdr:cNvGraphicFramePr>
            <a:graphicFrameLocks/>
          </xdr:cNvGraphicFramePr>
        </xdr:nvGraphicFramePr>
        <xdr:xfrm>
          <a:off x="21485679" y="22261286"/>
          <a:ext cx="4950605" cy="4153889"/>
        </xdr:xfrm>
        <a:graphic>
          <a:graphicData uri="http://schemas.openxmlformats.org/drawingml/2006/chart">
            <c:chart xmlns:c="http://schemas.openxmlformats.org/drawingml/2006/chart" xmlns:r="http://schemas.openxmlformats.org/officeDocument/2006/relationships" r:id="rId31"/>
          </a:graphicData>
        </a:graphic>
      </xdr:graphicFrame>
      <xdr:graphicFrame macro="">
        <xdr:nvGraphicFramePr>
          <xdr:cNvPr id="59" name="Gráfico 58">
            <a:extLst>
              <a:ext uri="{FF2B5EF4-FFF2-40B4-BE49-F238E27FC236}">
                <a16:creationId xmlns:a16="http://schemas.microsoft.com/office/drawing/2014/main" id="{00000000-0008-0000-0600-00003B000000}"/>
              </a:ext>
            </a:extLst>
          </xdr:cNvPr>
          <xdr:cNvGraphicFramePr>
            <a:graphicFrameLocks/>
          </xdr:cNvGraphicFramePr>
        </xdr:nvGraphicFramePr>
        <xdr:xfrm>
          <a:off x="21485679" y="25700899"/>
          <a:ext cx="4950605" cy="3623211"/>
        </xdr:xfrm>
        <a:graphic>
          <a:graphicData uri="http://schemas.openxmlformats.org/drawingml/2006/chart">
            <c:chart xmlns:c="http://schemas.openxmlformats.org/drawingml/2006/chart" xmlns:r="http://schemas.openxmlformats.org/officeDocument/2006/relationships" r:id="rId32"/>
          </a:graphicData>
        </a:graphic>
      </xdr:graphicFrame>
    </xdr:grpSp>
    <xdr:clientData/>
  </xdr:twoCellAnchor>
  <xdr:twoCellAnchor>
    <xdr:from>
      <xdr:col>13</xdr:col>
      <xdr:colOff>518527</xdr:colOff>
      <xdr:row>288</xdr:row>
      <xdr:rowOff>96981</xdr:rowOff>
    </xdr:from>
    <xdr:to>
      <xdr:col>19</xdr:col>
      <xdr:colOff>513433</xdr:colOff>
      <xdr:row>299</xdr:row>
      <xdr:rowOff>173181</xdr:rowOff>
    </xdr:to>
    <xdr:graphicFrame macro="">
      <xdr:nvGraphicFramePr>
        <xdr:cNvPr id="13" name="Gráfico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24</xdr:col>
      <xdr:colOff>168090</xdr:colOff>
      <xdr:row>110</xdr:row>
      <xdr:rowOff>324970</xdr:rowOff>
    </xdr:from>
    <xdr:to>
      <xdr:col>25</xdr:col>
      <xdr:colOff>324972</xdr:colOff>
      <xdr:row>112</xdr:row>
      <xdr:rowOff>44823</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21145502" y="22400558"/>
          <a:ext cx="918882" cy="48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x-none" sz="1100" b="1" i="1"/>
            <a:t>Importance</a:t>
          </a:r>
        </a:p>
      </xdr:txBody>
    </xdr:sp>
    <xdr:clientData/>
  </xdr:twoCellAnchor>
  <xdr:twoCellAnchor>
    <xdr:from>
      <xdr:col>24</xdr:col>
      <xdr:colOff>141196</xdr:colOff>
      <xdr:row>145</xdr:row>
      <xdr:rowOff>129989</xdr:rowOff>
    </xdr:from>
    <xdr:to>
      <xdr:col>25</xdr:col>
      <xdr:colOff>298078</xdr:colOff>
      <xdr:row>147</xdr:row>
      <xdr:rowOff>40342</xdr:rowOff>
    </xdr:to>
    <xdr:sp macro="" textlink="">
      <xdr:nvSpPr>
        <xdr:cNvPr id="42" name="CuadroTexto 41">
          <a:extLst>
            <a:ext uri="{FF2B5EF4-FFF2-40B4-BE49-F238E27FC236}">
              <a16:creationId xmlns:a16="http://schemas.microsoft.com/office/drawing/2014/main" id="{00000000-0008-0000-0600-00002A000000}"/>
            </a:ext>
          </a:extLst>
        </xdr:cNvPr>
        <xdr:cNvSpPr txBox="1"/>
      </xdr:nvSpPr>
      <xdr:spPr>
        <a:xfrm>
          <a:off x="20872078" y="29018754"/>
          <a:ext cx="918882"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x-none" sz="1100" b="1"/>
            <a:t>Importance</a:t>
          </a:r>
        </a:p>
      </xdr:txBody>
    </xdr:sp>
    <xdr:clientData/>
  </xdr:twoCellAnchor>
  <xdr:twoCellAnchor>
    <xdr:from>
      <xdr:col>30</xdr:col>
      <xdr:colOff>629771</xdr:colOff>
      <xdr:row>129</xdr:row>
      <xdr:rowOff>35863</xdr:rowOff>
    </xdr:from>
    <xdr:to>
      <xdr:col>31</xdr:col>
      <xdr:colOff>159124</xdr:colOff>
      <xdr:row>132</xdr:row>
      <xdr:rowOff>33619</xdr:rowOff>
    </xdr:to>
    <xdr:sp macro="" textlink="">
      <xdr:nvSpPr>
        <xdr:cNvPr id="43" name="CuadroTexto 42">
          <a:extLst>
            <a:ext uri="{FF2B5EF4-FFF2-40B4-BE49-F238E27FC236}">
              <a16:creationId xmlns:a16="http://schemas.microsoft.com/office/drawing/2014/main" id="{00000000-0008-0000-0600-00002B000000}"/>
            </a:ext>
          </a:extLst>
        </xdr:cNvPr>
        <xdr:cNvSpPr txBox="1"/>
      </xdr:nvSpPr>
      <xdr:spPr>
        <a:xfrm rot="5400000">
          <a:off x="25793702" y="26015579"/>
          <a:ext cx="569256"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x-none" sz="1100" b="1" i="1"/>
            <a:t>Score</a:t>
          </a:r>
        </a:p>
      </xdr:txBody>
    </xdr:sp>
    <xdr:clientData/>
  </xdr:twoCellAnchor>
  <xdr:twoCellAnchor>
    <xdr:from>
      <xdr:col>20</xdr:col>
      <xdr:colOff>54430</xdr:colOff>
      <xdr:row>128</xdr:row>
      <xdr:rowOff>149677</xdr:rowOff>
    </xdr:from>
    <xdr:to>
      <xdr:col>20</xdr:col>
      <xdr:colOff>326574</xdr:colOff>
      <xdr:row>131</xdr:row>
      <xdr:rowOff>108858</xdr:rowOff>
    </xdr:to>
    <xdr:sp macro="" textlink="">
      <xdr:nvSpPr>
        <xdr:cNvPr id="49" name="CuadroTexto 48">
          <a:extLst>
            <a:ext uri="{FF2B5EF4-FFF2-40B4-BE49-F238E27FC236}">
              <a16:creationId xmlns:a16="http://schemas.microsoft.com/office/drawing/2014/main" id="{00000000-0008-0000-0600-000031000000}"/>
            </a:ext>
          </a:extLst>
        </xdr:cNvPr>
        <xdr:cNvSpPr txBox="1"/>
      </xdr:nvSpPr>
      <xdr:spPr>
        <a:xfrm rot="16200000">
          <a:off x="16512268" y="25942017"/>
          <a:ext cx="530681" cy="272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x-none" sz="1100" b="1" i="1"/>
            <a:t>Score</a:t>
          </a:r>
        </a:p>
      </xdr:txBody>
    </xdr:sp>
    <xdr:clientData/>
  </xdr:twoCellAnchor>
  <xdr:twoCellAnchor>
    <xdr:from>
      <xdr:col>13</xdr:col>
      <xdr:colOff>275560</xdr:colOff>
      <xdr:row>301</xdr:row>
      <xdr:rowOff>132534</xdr:rowOff>
    </xdr:from>
    <xdr:to>
      <xdr:col>20</xdr:col>
      <xdr:colOff>750793</xdr:colOff>
      <xdr:row>323</xdr:row>
      <xdr:rowOff>11206</xdr:rowOff>
    </xdr:to>
    <xdr:graphicFrame macro="">
      <xdr:nvGraphicFramePr>
        <xdr:cNvPr id="15" name="Gráfico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629056</xdr:colOff>
      <xdr:row>344</xdr:row>
      <xdr:rowOff>50527</xdr:rowOff>
    </xdr:from>
    <xdr:to>
      <xdr:col>21</xdr:col>
      <xdr:colOff>145677</xdr:colOff>
      <xdr:row>363</xdr:row>
      <xdr:rowOff>47624</xdr:rowOff>
    </xdr:to>
    <xdr:graphicFrame macro="">
      <xdr:nvGraphicFramePr>
        <xdr:cNvPr id="27" name="Gráfico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121228</xdr:colOff>
      <xdr:row>355</xdr:row>
      <xdr:rowOff>86591</xdr:rowOff>
    </xdr:from>
    <xdr:to>
      <xdr:col>7</xdr:col>
      <xdr:colOff>653508</xdr:colOff>
      <xdr:row>373</xdr:row>
      <xdr:rowOff>79868</xdr:rowOff>
    </xdr:to>
    <xdr:graphicFrame macro="">
      <xdr:nvGraphicFramePr>
        <xdr:cNvPr id="53" name="Gráfico 52">
          <a:extLst>
            <a:ext uri="{FF2B5EF4-FFF2-40B4-BE49-F238E27FC236}">
              <a16:creationId xmlns:a16="http://schemas.microsoft.com/office/drawing/2014/main" id="{00000000-0008-0000-06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12</xdr:col>
      <xdr:colOff>623455</xdr:colOff>
      <xdr:row>330</xdr:row>
      <xdr:rowOff>0</xdr:rowOff>
    </xdr:from>
    <xdr:to>
      <xdr:col>19</xdr:col>
      <xdr:colOff>393735</xdr:colOff>
      <xdr:row>343</xdr:row>
      <xdr:rowOff>27914</xdr:rowOff>
    </xdr:to>
    <xdr:graphicFrame macro="">
      <xdr:nvGraphicFramePr>
        <xdr:cNvPr id="54" name="Gráfico 53">
          <a:extLst>
            <a:ext uri="{FF2B5EF4-FFF2-40B4-BE49-F238E27FC236}">
              <a16:creationId xmlns:a16="http://schemas.microsoft.com/office/drawing/2014/main" id="{00000000-0008-0000-06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fe0\Google%20Drive\Doctorate_Luisa\APPLIES\Expert%20review\Surv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1. Motiv Inst."/>
      <sheetName val="2. Definitions"/>
      <sheetName val="3. Criteria"/>
      <sheetName val="4. Statements"/>
      <sheetName val="5. OpenQuestions"/>
      <sheetName val="Question1 (2)"/>
      <sheetName val="Sources of data"/>
      <sheetName val="References"/>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isa Fernanda Rincon Perez" refreshedDate="43324.793784837966" createdVersion="6" refreshedVersion="6" minRefreshableVersion="3" recordCount="15" xr:uid="{ADE2E37A-2329-4E1C-B86E-DE1AFA732D47}">
  <cacheSource type="worksheet">
    <worksheetSource ref="AA9:AG24" sheet="Data_preparationResults"/>
  </cacheSource>
  <cacheFields count="7">
    <cacheField name="Dimension" numFmtId="2">
      <sharedItems count="3">
        <s v="Economic"/>
        <s v="Operational"/>
        <s v="Technical"/>
      </sharedItems>
    </cacheField>
    <cacheField name="Name" numFmtId="2">
      <sharedItems count="15">
        <s v="Readiness to do investments"/>
        <s v="Readiness to pay migration costs"/>
        <s v="Openness"/>
        <s v="Domain knowledge"/>
        <s v="Process discipline"/>
        <s v="Commitment of key actors"/>
        <s v="Market potential"/>
        <s v="Organizational support"/>
        <s v="Product line awareness"/>
        <s v=" Degree of control over product specification"/>
        <s v="Potential products"/>
        <s v="Commonality and variability"/>
        <s v="Software engineering capability"/>
        <s v="Reuse potential"/>
        <s v="Reuse aptitute"/>
      </sharedItems>
    </cacheField>
    <cacheField name="Importance" numFmtId="0">
      <sharedItems count="3">
        <s v="Important"/>
        <s v="Desirable"/>
        <s v="Very important"/>
      </sharedItems>
    </cacheField>
    <cacheField name="Score" numFmtId="2">
      <sharedItems containsSemiMixedTypes="0" containsString="0" containsNumber="1" containsInteger="1" minValue="0" maxValue="0"/>
    </cacheField>
    <cacheField name="Score2" numFmtId="2">
      <sharedItems containsSemiMixedTypes="0" containsString="0" containsNumber="1" containsInteger="1" minValue="0" maxValue="0"/>
    </cacheField>
    <cacheField name="# Importance" numFmtId="0">
      <sharedItems containsSemiMixedTypes="0" containsString="0" containsNumber="1" containsInteger="1" minValue="1" maxValue="3"/>
    </cacheField>
    <cacheField name="#importance final" numFmtId="0">
      <sharedItems containsSemiMixedTypes="0" containsString="0" containsNumber="1" containsInteger="1" minValue="1" maxValue="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n v="0"/>
    <n v="0"/>
    <n v="2"/>
    <n v="2"/>
  </r>
  <r>
    <x v="0"/>
    <x v="1"/>
    <x v="1"/>
    <n v="0"/>
    <n v="0"/>
    <n v="1"/>
    <n v="1"/>
  </r>
  <r>
    <x v="1"/>
    <x v="2"/>
    <x v="2"/>
    <n v="0"/>
    <n v="0"/>
    <n v="3"/>
    <n v="3"/>
  </r>
  <r>
    <x v="1"/>
    <x v="3"/>
    <x v="2"/>
    <n v="0"/>
    <n v="0"/>
    <n v="3"/>
    <n v="3"/>
  </r>
  <r>
    <x v="1"/>
    <x v="4"/>
    <x v="2"/>
    <n v="0"/>
    <n v="0"/>
    <n v="3"/>
    <n v="3"/>
  </r>
  <r>
    <x v="1"/>
    <x v="5"/>
    <x v="2"/>
    <n v="0"/>
    <n v="0"/>
    <n v="3"/>
    <n v="3"/>
  </r>
  <r>
    <x v="1"/>
    <x v="6"/>
    <x v="2"/>
    <n v="0"/>
    <n v="0"/>
    <n v="3"/>
    <n v="3"/>
  </r>
  <r>
    <x v="1"/>
    <x v="7"/>
    <x v="2"/>
    <n v="0"/>
    <n v="0"/>
    <n v="3"/>
    <n v="3"/>
  </r>
  <r>
    <x v="1"/>
    <x v="8"/>
    <x v="2"/>
    <n v="0"/>
    <n v="0"/>
    <n v="3"/>
    <n v="3"/>
  </r>
  <r>
    <x v="1"/>
    <x v="9"/>
    <x v="0"/>
    <n v="0"/>
    <n v="0"/>
    <n v="2"/>
    <n v="2"/>
  </r>
  <r>
    <x v="1"/>
    <x v="10"/>
    <x v="0"/>
    <n v="0"/>
    <n v="0"/>
    <n v="2"/>
    <n v="2"/>
  </r>
  <r>
    <x v="2"/>
    <x v="11"/>
    <x v="2"/>
    <n v="0"/>
    <n v="0"/>
    <n v="3"/>
    <n v="3"/>
  </r>
  <r>
    <x v="2"/>
    <x v="12"/>
    <x v="2"/>
    <n v="0"/>
    <n v="0"/>
    <n v="3"/>
    <n v="3"/>
  </r>
  <r>
    <x v="2"/>
    <x v="13"/>
    <x v="2"/>
    <n v="0"/>
    <n v="0"/>
    <n v="3"/>
    <n v="3"/>
  </r>
  <r>
    <x v="2"/>
    <x v="14"/>
    <x v="0"/>
    <n v="0"/>
    <n v="0"/>
    <n v="2"/>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02D72B-8CA3-4BD0-A3C2-B5A11FE53EFE}" name="TablaDinámica3" cacheId="1" applyNumberFormats="0" applyBorderFormats="0" applyFontFormats="0" applyPatternFormats="0" applyAlignmentFormats="0" applyWidthHeightFormats="1" dataCaption="Valores" updatedVersion="6" minRefreshableVersion="3" useAutoFormatting="1" rowGrandTotals="0" colGrandTotals="0" itemPrintTitles="1" createdVersion="6" indent="0" outline="1" outlineData="1" multipleFieldFilters="0" chartFormat="1" rowHeaderCaption="Criterion" colHeaderCaption="Dimension">
  <location ref="B13:E32" firstHeaderRow="1" firstDataRow="2" firstDataCol="1"/>
  <pivotFields count="7">
    <pivotField axis="axisRow" showAll="0" sortType="descending">
      <items count="4">
        <item x="2"/>
        <item x="1"/>
        <item x="0"/>
        <item t="default"/>
      </items>
    </pivotField>
    <pivotField name="Criterion" axis="axisRow" showAll="0">
      <items count="16">
        <item x="9"/>
        <item x="5"/>
        <item x="11"/>
        <item x="3"/>
        <item x="6"/>
        <item x="2"/>
        <item x="7"/>
        <item x="10"/>
        <item x="4"/>
        <item x="8"/>
        <item x="0"/>
        <item x="1"/>
        <item x="14"/>
        <item x="13"/>
        <item x="12"/>
        <item t="default"/>
      </items>
    </pivotField>
    <pivotField axis="axisCol" showAll="0">
      <items count="4">
        <item x="1"/>
        <item x="0"/>
        <item x="2"/>
        <item t="default"/>
      </items>
    </pivotField>
    <pivotField numFmtId="2" showAll="0"/>
    <pivotField dataField="1" showAll="0"/>
    <pivotField showAll="0"/>
    <pivotField showAll="0"/>
  </pivotFields>
  <rowFields count="2">
    <field x="0"/>
    <field x="1"/>
  </rowFields>
  <rowItems count="18">
    <i>
      <x/>
    </i>
    <i r="1">
      <x v="2"/>
    </i>
    <i r="1">
      <x v="12"/>
    </i>
    <i r="1">
      <x v="13"/>
    </i>
    <i r="1">
      <x v="14"/>
    </i>
    <i>
      <x v="1"/>
    </i>
    <i r="1">
      <x/>
    </i>
    <i r="1">
      <x v="1"/>
    </i>
    <i r="1">
      <x v="3"/>
    </i>
    <i r="1">
      <x v="4"/>
    </i>
    <i r="1">
      <x v="5"/>
    </i>
    <i r="1">
      <x v="6"/>
    </i>
    <i r="1">
      <x v="7"/>
    </i>
    <i r="1">
      <x v="8"/>
    </i>
    <i r="1">
      <x v="9"/>
    </i>
    <i>
      <x v="2"/>
    </i>
    <i r="1">
      <x v="10"/>
    </i>
    <i r="1">
      <x v="11"/>
    </i>
  </rowItems>
  <colFields count="1">
    <field x="2"/>
  </colFields>
  <colItems count="3">
    <i>
      <x/>
    </i>
    <i>
      <x v="1"/>
    </i>
    <i>
      <x v="2"/>
    </i>
  </colItems>
  <dataFields count="1">
    <dataField name="Máx. de Score2" fld="4" subtotal="max" baseField="1" baseItem="10"/>
  </dataFields>
  <formats count="7">
    <format dxfId="6">
      <pivotArea collapsedLevelsAreSubtotals="1" fieldPosition="0">
        <references count="1">
          <reference field="1" count="10">
            <x v="1"/>
            <x v="2"/>
            <x v="3"/>
            <x v="4"/>
            <x v="5"/>
            <x v="6"/>
            <x v="8"/>
            <x v="9"/>
            <x v="13"/>
            <x v="14"/>
          </reference>
        </references>
      </pivotArea>
    </format>
    <format dxfId="5">
      <pivotArea collapsedLevelsAreSubtotals="1" fieldPosition="0">
        <references count="1">
          <reference field="1" count="1">
            <x v="12"/>
          </reference>
        </references>
      </pivotArea>
    </format>
    <format dxfId="4">
      <pivotArea collapsedLevelsAreSubtotals="1" fieldPosition="0">
        <references count="2">
          <reference field="0" count="1" selected="0">
            <x v="2"/>
          </reference>
          <reference field="1" count="1">
            <x v="10"/>
          </reference>
        </references>
      </pivotArea>
    </format>
    <format dxfId="3">
      <pivotArea outline="0" collapsedLevelsAreSubtotals="1" fieldPosition="0"/>
    </format>
    <format dxfId="2">
      <pivotArea field="2" type="button" dataOnly="0" labelOnly="1" outline="0" axis="axisCol" fieldPosition="0"/>
    </format>
    <format dxfId="1">
      <pivotArea type="topRight" dataOnly="0" labelOnly="1" outline="0" fieldPosition="0"/>
    </format>
    <format dxfId="0">
      <pivotArea dataOnly="0" labelOnly="1" fieldPosition="0">
        <references count="1">
          <reference field="2" count="0"/>
        </references>
      </pivotArea>
    </format>
  </formats>
  <chartFormats count="6">
    <chartFormat chart="0" format="11" series="1">
      <pivotArea type="data" outline="0" fieldPosition="0">
        <references count="1">
          <reference field="2" count="1" selected="0">
            <x v="0"/>
          </reference>
        </references>
      </pivotArea>
    </chartFormat>
    <chartFormat chart="0" format="12" series="1">
      <pivotArea type="data" outline="0" fieldPosition="0">
        <references count="1">
          <reference field="2" count="1" selected="0">
            <x v="1"/>
          </reference>
        </references>
      </pivotArea>
    </chartFormat>
    <chartFormat chart="0" format="13" series="1">
      <pivotArea type="data" outline="0" fieldPosition="0">
        <references count="1">
          <reference field="2" count="1" selected="0">
            <x v="2"/>
          </reference>
        </references>
      </pivotArea>
    </chartFormat>
    <chartFormat chart="0" format="14" series="1">
      <pivotArea type="data" outline="0" fieldPosition="0">
        <references count="2">
          <reference field="4294967294" count="1" selected="0">
            <x v="0"/>
          </reference>
          <reference field="2" count="1" selected="0">
            <x v="2"/>
          </reference>
        </references>
      </pivotArea>
    </chartFormat>
    <chartFormat chart="0" format="15" series="1">
      <pivotArea type="data" outline="0" fieldPosition="0">
        <references count="2">
          <reference field="4294967294" count="1" selected="0">
            <x v="0"/>
          </reference>
          <reference field="2" count="1" selected="0">
            <x v="1"/>
          </reference>
        </references>
      </pivotArea>
    </chartFormat>
    <chartFormat chart="0" format="16"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E0BB2-1B6E-49C1-BE53-343D41A49136}">
  <sheetPr codeName="Hoja5"/>
  <dimension ref="A1"/>
  <sheetViews>
    <sheetView tabSelected="1" zoomScaleNormal="100" workbookViewId="0">
      <selection activeCell="K11" sqref="K11"/>
    </sheetView>
  </sheetViews>
  <sheetFormatPr baseColWidth="10" defaultRowHeight="15" x14ac:dyDescent="0.25"/>
  <cols>
    <col min="1" max="16384" width="11.42578125" style="6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0"/>
  <dimension ref="A1:BB35"/>
  <sheetViews>
    <sheetView topLeftCell="C2" zoomScale="70" zoomScaleNormal="70" zoomScaleSheetLayoutView="55" workbookViewId="0">
      <selection activeCell="U4" sqref="U4"/>
    </sheetView>
  </sheetViews>
  <sheetFormatPr baseColWidth="10" defaultRowHeight="15" x14ac:dyDescent="0.25"/>
  <cols>
    <col min="1" max="1" width="11" style="67" hidden="1" customWidth="1"/>
    <col min="2" max="2" width="12.85546875" style="67" hidden="1" customWidth="1"/>
    <col min="3" max="3" width="14.28515625" style="191" customWidth="1"/>
    <col min="4" max="4" width="14.28515625" style="1" hidden="1" customWidth="1"/>
    <col min="5" max="5" width="17.140625" style="1" hidden="1" customWidth="1"/>
    <col min="6" max="6" width="54.28515625" style="67" customWidth="1"/>
    <col min="7" max="8" width="5" style="74" hidden="1" customWidth="1"/>
    <col min="9" max="9" width="12.140625" style="74" customWidth="1"/>
    <col min="10" max="10" width="8.7109375" style="74" customWidth="1"/>
    <col min="11" max="11" width="14.7109375" style="48" customWidth="1"/>
    <col min="12" max="12" width="4.28515625" style="48" customWidth="1"/>
    <col min="13" max="13" width="14.5703125" style="48" hidden="1" customWidth="1"/>
    <col min="14" max="14" width="17" style="172" customWidth="1"/>
    <col min="15" max="16" width="17" style="172" hidden="1" customWidth="1"/>
    <col min="17" max="17" width="49.140625" style="48" customWidth="1"/>
    <col min="18" max="18" width="7" style="48" hidden="1" customWidth="1"/>
    <col min="19" max="19" width="10.85546875" style="48" customWidth="1"/>
    <col min="20" max="20" width="8.85546875" style="48" customWidth="1"/>
    <col min="21" max="21" width="16.28515625" style="48" customWidth="1"/>
    <col min="22" max="22" width="3.5703125" style="48" customWidth="1"/>
    <col min="23" max="26" width="12.42578125" style="48" customWidth="1"/>
    <col min="27" max="27" width="8.7109375" style="67" customWidth="1"/>
    <col min="28" max="28" width="5.28515625" style="67" customWidth="1"/>
    <col min="29" max="44" width="11.42578125" style="67"/>
    <col min="45" max="45" width="28.5703125" style="303" customWidth="1"/>
    <col min="46" max="47" width="11.42578125" style="303"/>
    <col min="48" max="48" width="13.7109375" style="303" customWidth="1"/>
    <col min="49" max="49" width="11.42578125" style="303" customWidth="1"/>
    <col min="50" max="50" width="11.42578125" style="308"/>
    <col min="51" max="51" width="13.28515625" style="308" customWidth="1"/>
    <col min="52" max="52" width="11.42578125" style="309"/>
    <col min="53" max="53" width="11.85546875" style="48" bestFit="1" customWidth="1"/>
    <col min="54" max="54" width="11.42578125" style="48"/>
    <col min="55" max="16384" width="11.42578125" style="67"/>
  </cols>
  <sheetData>
    <row r="1" spans="1:54" ht="45" customHeight="1" thickBot="1" x14ac:dyDescent="0.3">
      <c r="C1" s="168"/>
      <c r="D1" s="73"/>
      <c r="E1" s="73"/>
      <c r="AF1" s="68"/>
      <c r="AG1" s="68"/>
      <c r="AH1" s="68"/>
      <c r="AI1" s="68"/>
      <c r="AJ1" s="68"/>
      <c r="AK1" s="68"/>
      <c r="AL1" s="68"/>
      <c r="AM1" s="68"/>
      <c r="AX1" s="303"/>
      <c r="AY1" s="303"/>
      <c r="AZ1" s="48"/>
      <c r="BA1" s="303"/>
    </row>
    <row r="2" spans="1:54" ht="29.25" thickBot="1" x14ac:dyDescent="0.5">
      <c r="A2"/>
      <c r="B2" s="316" t="s">
        <v>349</v>
      </c>
      <c r="C2" s="316"/>
      <c r="D2" s="316"/>
      <c r="E2" s="316"/>
      <c r="F2" s="316"/>
      <c r="G2" s="113"/>
      <c r="H2" s="210"/>
      <c r="I2" s="210"/>
      <c r="J2" s="210"/>
      <c r="K2" s="315"/>
      <c r="L2" s="315"/>
      <c r="M2" s="315"/>
      <c r="N2" s="315"/>
      <c r="O2" s="315"/>
      <c r="P2" s="315"/>
      <c r="Q2" s="315"/>
      <c r="R2" s="315"/>
      <c r="S2" s="315"/>
      <c r="T2" s="315"/>
      <c r="U2" s="315"/>
      <c r="V2" s="315"/>
      <c r="W2" s="206"/>
      <c r="X2" s="206"/>
      <c r="Y2" s="206"/>
      <c r="Z2" s="206"/>
      <c r="AA2" s="206"/>
      <c r="AB2" s="206"/>
      <c r="AC2" s="206"/>
      <c r="AD2" s="206"/>
      <c r="AE2" s="186"/>
      <c r="AF2" s="68"/>
      <c r="AG2" s="68"/>
      <c r="AH2" s="68"/>
      <c r="AI2" s="68"/>
      <c r="AJ2" s="68"/>
      <c r="AK2" s="68"/>
      <c r="AL2" s="68"/>
      <c r="AM2" s="68"/>
      <c r="AX2" s="303"/>
      <c r="AY2" s="303"/>
      <c r="AZ2" s="48"/>
      <c r="BA2" s="303"/>
    </row>
    <row r="3" spans="1:54" s="68" customFormat="1" ht="43.5" customHeight="1" thickBot="1" x14ac:dyDescent="0.3">
      <c r="A3" s="174"/>
      <c r="B3" s="193" t="s">
        <v>269</v>
      </c>
      <c r="C3" s="194" t="s">
        <v>103</v>
      </c>
      <c r="D3" s="194" t="s">
        <v>1</v>
      </c>
      <c r="E3" s="194" t="s">
        <v>302</v>
      </c>
      <c r="F3" s="194" t="s">
        <v>324</v>
      </c>
      <c r="G3" s="194">
        <f>SUM(G4:G6)</f>
        <v>3</v>
      </c>
      <c r="H3" s="194"/>
      <c r="I3" s="221" t="s">
        <v>350</v>
      </c>
      <c r="J3" s="221" t="s">
        <v>357</v>
      </c>
      <c r="K3" s="205" t="s">
        <v>249</v>
      </c>
      <c r="L3" s="136"/>
      <c r="M3" s="193" t="s">
        <v>269</v>
      </c>
      <c r="N3" s="193" t="s">
        <v>103</v>
      </c>
      <c r="O3" s="194" t="s">
        <v>1</v>
      </c>
      <c r="P3" s="194"/>
      <c r="Q3" s="194" t="s">
        <v>326</v>
      </c>
      <c r="R3" s="194">
        <f>SUM(R4:R12)</f>
        <v>8</v>
      </c>
      <c r="S3" s="221" t="s">
        <v>350</v>
      </c>
      <c r="T3" s="221" t="s">
        <v>357</v>
      </c>
      <c r="U3" s="205" t="s">
        <v>249</v>
      </c>
      <c r="V3" s="138"/>
      <c r="W3" s="319" t="str">
        <f>Data!C4</f>
        <v xml:space="preserve"> -- Alignment with adoption drivers</v>
      </c>
      <c r="X3" s="320"/>
      <c r="Y3" s="320"/>
      <c r="Z3" s="320"/>
      <c r="AA3" s="320"/>
      <c r="AB3" s="320"/>
      <c r="AC3" s="320"/>
      <c r="AD3" s="321"/>
      <c r="AE3" s="212"/>
      <c r="AF3" s="212"/>
      <c r="AG3" s="212"/>
      <c r="AH3" s="212"/>
      <c r="AI3" s="212"/>
      <c r="AJ3" s="212"/>
      <c r="AK3" s="212"/>
      <c r="AL3" s="212"/>
      <c r="AS3" s="304" t="s">
        <v>242</v>
      </c>
      <c r="AT3" s="173" t="s">
        <v>241</v>
      </c>
      <c r="AU3" s="208" t="s">
        <v>238</v>
      </c>
      <c r="AV3" s="304" t="s">
        <v>239</v>
      </c>
      <c r="AW3" s="139" t="s">
        <v>2</v>
      </c>
      <c r="AX3" s="208" t="s">
        <v>320</v>
      </c>
      <c r="AY3" s="208" t="s">
        <v>321</v>
      </c>
      <c r="AZ3" s="74"/>
      <c r="BA3" s="139"/>
      <c r="BB3" s="74"/>
    </row>
    <row r="4" spans="1:54" s="68" customFormat="1" ht="45" x14ac:dyDescent="0.25">
      <c r="A4" s="159" t="s">
        <v>25</v>
      </c>
      <c r="B4" s="159" t="s">
        <v>272</v>
      </c>
      <c r="C4" s="169" t="s">
        <v>313</v>
      </c>
      <c r="D4" s="169" t="s">
        <v>33</v>
      </c>
      <c r="E4" s="169" t="s">
        <v>307</v>
      </c>
      <c r="F4" s="166" t="s">
        <v>341</v>
      </c>
      <c r="G4" s="86">
        <v>1</v>
      </c>
      <c r="H4" s="86">
        <f>IF(K4=$AW$3,1,0)</f>
        <v>0</v>
      </c>
      <c r="I4" s="86"/>
      <c r="J4" s="86"/>
      <c r="K4" s="146"/>
      <c r="L4" s="137"/>
      <c r="M4" s="182" t="s">
        <v>284</v>
      </c>
      <c r="N4" s="175" t="s">
        <v>328</v>
      </c>
      <c r="O4" s="183" t="s">
        <v>33</v>
      </c>
      <c r="P4" s="183" t="s">
        <v>304</v>
      </c>
      <c r="Q4" s="190" t="s">
        <v>257</v>
      </c>
      <c r="R4" s="188">
        <v>1</v>
      </c>
      <c r="S4" s="86"/>
      <c r="T4" s="86"/>
      <c r="U4" s="189"/>
      <c r="V4" s="137"/>
      <c r="W4" s="153"/>
      <c r="X4" s="145"/>
      <c r="Y4" s="145"/>
      <c r="Z4" s="145"/>
      <c r="AA4" s="145"/>
      <c r="AB4" s="145"/>
      <c r="AC4" s="145"/>
      <c r="AD4" s="154"/>
      <c r="AE4" s="149"/>
      <c r="AF4" s="149"/>
      <c r="AG4" s="149"/>
      <c r="AH4" s="149"/>
      <c r="AI4" s="149"/>
      <c r="AJ4" s="149"/>
      <c r="AK4" s="149"/>
      <c r="AL4" s="149"/>
      <c r="AR4" s="318"/>
      <c r="AS4" s="173" t="str">
        <f>_xlfn.CONCAT(F3)</f>
        <v>Strength-based drivers</v>
      </c>
      <c r="AT4" s="305">
        <f t="shared" ref="AT4:AT5" si="0">AV4/AU4</f>
        <v>0</v>
      </c>
      <c r="AU4" s="139">
        <f>G3</f>
        <v>3</v>
      </c>
      <c r="AV4" s="139">
        <f>IF(K4=AW3,1,0)+IF(K5=AW3,1,0)+IF(K6=AW3,1,0)</f>
        <v>0</v>
      </c>
      <c r="AW4" s="139" t="s">
        <v>0</v>
      </c>
      <c r="AX4" s="173" t="str">
        <f>AS4</f>
        <v>Strength-based drivers</v>
      </c>
      <c r="AY4" s="207" t="e">
        <f>AV4/$AV$8</f>
        <v>#DIV/0!</v>
      </c>
      <c r="AZ4" s="48"/>
      <c r="BA4" s="303"/>
      <c r="BB4" s="48"/>
    </row>
    <row r="5" spans="1:54" s="68" customFormat="1" ht="33.75" customHeight="1" x14ac:dyDescent="0.25">
      <c r="A5" s="159" t="s">
        <v>19</v>
      </c>
      <c r="B5" s="159" t="s">
        <v>273</v>
      </c>
      <c r="C5" s="169" t="s">
        <v>312</v>
      </c>
      <c r="D5" s="169" t="s">
        <v>33</v>
      </c>
      <c r="E5" s="169" t="s">
        <v>308</v>
      </c>
      <c r="F5" s="166" t="s">
        <v>309</v>
      </c>
      <c r="G5" s="86">
        <v>1</v>
      </c>
      <c r="H5" s="86">
        <f>IF(K5=$AW$3,1,0)</f>
        <v>0</v>
      </c>
      <c r="I5" s="86"/>
      <c r="J5" s="86"/>
      <c r="K5" s="146"/>
      <c r="L5" s="137"/>
      <c r="M5" s="175" t="s">
        <v>285</v>
      </c>
      <c r="N5" s="175" t="s">
        <v>289</v>
      </c>
      <c r="O5" s="176" t="s">
        <v>33</v>
      </c>
      <c r="P5" s="183" t="s">
        <v>304</v>
      </c>
      <c r="Q5" s="166" t="s">
        <v>177</v>
      </c>
      <c r="R5" s="177">
        <v>1</v>
      </c>
      <c r="S5" s="86"/>
      <c r="T5" s="86"/>
      <c r="U5" s="189"/>
      <c r="V5" s="137"/>
      <c r="W5" s="153"/>
      <c r="X5" s="145"/>
      <c r="Y5" s="145"/>
      <c r="Z5" s="145"/>
      <c r="AA5" s="145"/>
      <c r="AB5" s="145"/>
      <c r="AC5" s="145"/>
      <c r="AD5" s="154"/>
      <c r="AE5" s="149"/>
      <c r="AF5" s="149"/>
      <c r="AG5" s="149"/>
      <c r="AH5" s="149"/>
      <c r="AI5" s="149"/>
      <c r="AJ5" s="149"/>
      <c r="AK5" s="149"/>
      <c r="AL5" s="149"/>
      <c r="AR5" s="318"/>
      <c r="AS5" s="173" t="str">
        <f>_xlfn.CONCAT(F8)</f>
        <v>Opportunity-based drivers</v>
      </c>
      <c r="AT5" s="305">
        <f t="shared" si="0"/>
        <v>0</v>
      </c>
      <c r="AU5" s="139">
        <f>G8</f>
        <v>6</v>
      </c>
      <c r="AV5" s="139">
        <f>IF(K9=AW3,1,0)+IF(K10=AW3,1,0)+IF(K11=AW3,1,0)+IF(K13=AW3,1,0)+IF(K12=AW3,1,0)+IF(K14=AW3,1,0)</f>
        <v>0</v>
      </c>
      <c r="AW5" s="139" t="s">
        <v>240</v>
      </c>
      <c r="AX5" s="173" t="str">
        <f t="shared" ref="AX5:AX7" si="1">AS5</f>
        <v>Opportunity-based drivers</v>
      </c>
      <c r="AY5" s="207" t="e">
        <f>AV5/$AV$8</f>
        <v>#DIV/0!</v>
      </c>
      <c r="AZ5" s="207"/>
      <c r="BA5" s="139"/>
      <c r="BB5" s="74"/>
    </row>
    <row r="6" spans="1:54" s="68" customFormat="1" ht="67.5" customHeight="1" thickBot="1" x14ac:dyDescent="0.3">
      <c r="A6" s="159" t="s">
        <v>138</v>
      </c>
      <c r="B6" s="162" t="s">
        <v>281</v>
      </c>
      <c r="C6" s="170" t="s">
        <v>283</v>
      </c>
      <c r="D6" s="170" t="s">
        <v>33</v>
      </c>
      <c r="E6" s="170" t="s">
        <v>307</v>
      </c>
      <c r="F6" s="187" t="s">
        <v>340</v>
      </c>
      <c r="G6" s="147">
        <v>1</v>
      </c>
      <c r="H6" s="147">
        <f>IF(K6=$AW$3,1,0)</f>
        <v>0</v>
      </c>
      <c r="I6" s="147"/>
      <c r="J6" s="147"/>
      <c r="K6" s="148"/>
      <c r="L6" s="137"/>
      <c r="M6" s="175" t="s">
        <v>286</v>
      </c>
      <c r="N6" s="175" t="s">
        <v>290</v>
      </c>
      <c r="O6" s="176" t="s">
        <v>33</v>
      </c>
      <c r="P6" s="183" t="s">
        <v>304</v>
      </c>
      <c r="Q6" s="166" t="s">
        <v>267</v>
      </c>
      <c r="R6" s="177">
        <v>1</v>
      </c>
      <c r="S6" s="86"/>
      <c r="T6" s="86"/>
      <c r="U6" s="146"/>
      <c r="V6" s="137"/>
      <c r="W6" s="153"/>
      <c r="X6" s="145"/>
      <c r="Y6" s="145"/>
      <c r="Z6" s="145"/>
      <c r="AA6" s="145"/>
      <c r="AB6" s="145"/>
      <c r="AC6" s="145"/>
      <c r="AD6" s="154"/>
      <c r="AE6" s="149"/>
      <c r="AF6" s="149"/>
      <c r="AG6" s="149"/>
      <c r="AH6" s="149"/>
      <c r="AI6" s="149"/>
      <c r="AJ6" s="149"/>
      <c r="AK6" s="149"/>
      <c r="AL6" s="149"/>
      <c r="AR6" s="318"/>
      <c r="AS6" s="173" t="str">
        <f>_xlfn.CONCAT(Q3)</f>
        <v>Weakness-based drivers</v>
      </c>
      <c r="AT6" s="207">
        <f>AV6/AU6</f>
        <v>0</v>
      </c>
      <c r="AU6" s="139">
        <f>R3</f>
        <v>8</v>
      </c>
      <c r="AV6" s="139">
        <f>IF(U4=AW3,1,0)+IF(U5=AW3,1,0)+IF(U6=AW3,1,0)+IF(U7=AW3,1,0)+IF(U8=AW3,1,0)+IF(U9=AW3,1,0)+IF(U10=AW3,1,0)+IF(U11=AW3,1,0)+IF(U12=AW3,1,0)</f>
        <v>0</v>
      </c>
      <c r="AW6" s="139"/>
      <c r="AX6" s="173" t="str">
        <f t="shared" si="1"/>
        <v>Weakness-based drivers</v>
      </c>
      <c r="AY6" s="207" t="e">
        <f>AV6/$AV$8</f>
        <v>#DIV/0!</v>
      </c>
      <c r="AZ6" s="207"/>
      <c r="BA6" s="139"/>
      <c r="BB6" s="74"/>
    </row>
    <row r="7" spans="1:54" s="68" customFormat="1" ht="45.75" thickBot="1" x14ac:dyDescent="0.3">
      <c r="A7" s="159" t="s">
        <v>121</v>
      </c>
      <c r="L7" s="137"/>
      <c r="M7" s="175" t="s">
        <v>287</v>
      </c>
      <c r="N7" s="178" t="s">
        <v>297</v>
      </c>
      <c r="O7" s="179" t="s">
        <v>33</v>
      </c>
      <c r="P7" s="183" t="s">
        <v>304</v>
      </c>
      <c r="Q7" s="167" t="s">
        <v>268</v>
      </c>
      <c r="R7" s="180">
        <v>1</v>
      </c>
      <c r="S7" s="86"/>
      <c r="T7" s="86"/>
      <c r="U7" s="146"/>
      <c r="V7" s="139"/>
      <c r="W7" s="153"/>
      <c r="X7" s="145"/>
      <c r="Y7" s="145"/>
      <c r="Z7" s="145"/>
      <c r="AA7" s="145"/>
      <c r="AB7" s="145"/>
      <c r="AC7" s="145"/>
      <c r="AD7" s="154"/>
      <c r="AE7" s="149"/>
      <c r="AF7" s="149"/>
      <c r="AG7" s="149"/>
      <c r="AH7" s="149"/>
      <c r="AI7" s="149"/>
      <c r="AJ7" s="149"/>
      <c r="AK7" s="149"/>
      <c r="AL7" s="149"/>
      <c r="AR7" s="317"/>
      <c r="AS7" s="173" t="str">
        <f>_xlfn.CONCAT(Q13)</f>
        <v>Threat-based drivers</v>
      </c>
      <c r="AT7" s="305">
        <f>AV7/AU7</f>
        <v>0</v>
      </c>
      <c r="AU7" s="139">
        <f>R13</f>
        <v>1</v>
      </c>
      <c r="AV7" s="139">
        <f>IF(U14=AW3,1,0)</f>
        <v>0</v>
      </c>
      <c r="AW7" s="139"/>
      <c r="AX7" s="173" t="str">
        <f t="shared" si="1"/>
        <v>Threat-based drivers</v>
      </c>
      <c r="AY7" s="207" t="e">
        <f t="shared" ref="AY7" si="2">AV7/$AV$8</f>
        <v>#DIV/0!</v>
      </c>
      <c r="AZ7" s="207"/>
      <c r="BA7" s="139"/>
      <c r="BB7" s="74"/>
    </row>
    <row r="8" spans="1:54" s="68" customFormat="1" ht="42.75" customHeight="1" thickBot="1" x14ac:dyDescent="0.3">
      <c r="A8" s="159" t="s">
        <v>122</v>
      </c>
      <c r="B8" s="202" t="s">
        <v>269</v>
      </c>
      <c r="C8" s="203" t="s">
        <v>103</v>
      </c>
      <c r="D8" s="203" t="s">
        <v>1</v>
      </c>
      <c r="E8" s="203" t="s">
        <v>302</v>
      </c>
      <c r="F8" s="203" t="s">
        <v>325</v>
      </c>
      <c r="G8" s="203">
        <f>SUM(G9:G14)</f>
        <v>6</v>
      </c>
      <c r="H8" s="203"/>
      <c r="I8" s="221" t="s">
        <v>350</v>
      </c>
      <c r="J8" s="221" t="s">
        <v>357</v>
      </c>
      <c r="K8" s="204"/>
      <c r="L8" s="137"/>
      <c r="M8" s="175" t="s">
        <v>288</v>
      </c>
      <c r="N8" s="182" t="s">
        <v>291</v>
      </c>
      <c r="O8" s="171" t="s">
        <v>33</v>
      </c>
      <c r="P8" s="183" t="s">
        <v>304</v>
      </c>
      <c r="Q8" s="167" t="s">
        <v>402</v>
      </c>
      <c r="R8" s="86">
        <v>1</v>
      </c>
      <c r="S8" s="86"/>
      <c r="T8" s="86"/>
      <c r="U8" s="146"/>
      <c r="V8" s="137"/>
      <c r="W8" s="319" t="str">
        <f>Data!C5</f>
        <v xml:space="preserve"> -- Share of selected drivers</v>
      </c>
      <c r="X8" s="320"/>
      <c r="Y8" s="320"/>
      <c r="Z8" s="320"/>
      <c r="AA8" s="320"/>
      <c r="AB8" s="320"/>
      <c r="AC8" s="320"/>
      <c r="AD8" s="321"/>
      <c r="AE8" s="149"/>
      <c r="AF8" s="149"/>
      <c r="AG8" s="149"/>
      <c r="AH8" s="149"/>
      <c r="AI8" s="149"/>
      <c r="AJ8" s="149"/>
      <c r="AK8" s="149"/>
      <c r="AL8" s="149"/>
      <c r="AR8" s="317"/>
      <c r="AS8" s="304" t="s">
        <v>322</v>
      </c>
      <c r="AT8" s="306"/>
      <c r="AU8" s="208">
        <f>SUM(AU4:AU7)</f>
        <v>18</v>
      </c>
      <c r="AV8" s="208">
        <f>SUM(AV4:AV7)</f>
        <v>0</v>
      </c>
      <c r="AW8" s="139">
        <f>AU8-AV8</f>
        <v>18</v>
      </c>
      <c r="AX8" s="139"/>
      <c r="AY8" s="208"/>
      <c r="AZ8" s="139"/>
      <c r="BA8" s="208"/>
      <c r="BB8" s="74"/>
    </row>
    <row r="9" spans="1:54" s="68" customFormat="1" ht="48.75" customHeight="1" x14ac:dyDescent="0.25">
      <c r="A9" s="163"/>
      <c r="B9" s="198" t="s">
        <v>276</v>
      </c>
      <c r="C9" s="169" t="s">
        <v>329</v>
      </c>
      <c r="D9" s="199" t="s">
        <v>34</v>
      </c>
      <c r="E9" s="200" t="s">
        <v>303</v>
      </c>
      <c r="F9" s="201" t="s">
        <v>305</v>
      </c>
      <c r="G9" s="86">
        <v>1</v>
      </c>
      <c r="H9" s="86">
        <f t="shared" ref="H9:H13" si="3">IF(K9=$AW$3,1,0)</f>
        <v>0</v>
      </c>
      <c r="I9" s="86"/>
      <c r="J9" s="86"/>
      <c r="K9" s="189"/>
      <c r="L9" s="138"/>
      <c r="M9" s="178" t="s">
        <v>298</v>
      </c>
      <c r="N9" s="175" t="s">
        <v>292</v>
      </c>
      <c r="O9" s="176" t="s">
        <v>33</v>
      </c>
      <c r="P9" s="183" t="s">
        <v>304</v>
      </c>
      <c r="Q9" s="166" t="s">
        <v>185</v>
      </c>
      <c r="R9" s="86">
        <v>1</v>
      </c>
      <c r="S9" s="86"/>
      <c r="T9" s="86"/>
      <c r="U9" s="146"/>
      <c r="V9" s="139"/>
      <c r="W9" s="214"/>
      <c r="X9" s="149"/>
      <c r="Y9" s="149"/>
      <c r="Z9" s="149"/>
      <c r="AA9" s="149"/>
      <c r="AB9" s="149"/>
      <c r="AC9" s="213"/>
      <c r="AD9" s="215"/>
      <c r="AE9" s="149"/>
      <c r="AF9" s="149"/>
      <c r="AG9" s="149"/>
      <c r="AH9" s="149"/>
      <c r="AI9" s="149"/>
      <c r="AJ9" s="149"/>
      <c r="AK9" s="149"/>
      <c r="AL9" s="149"/>
      <c r="AR9" s="317"/>
      <c r="AS9" s="139"/>
      <c r="AT9" s="139"/>
      <c r="AU9" s="139" t="s">
        <v>317</v>
      </c>
      <c r="AV9" s="139" t="s">
        <v>318</v>
      </c>
      <c r="AW9" s="139"/>
      <c r="AX9" s="139"/>
      <c r="AY9" s="139"/>
      <c r="AZ9" s="139"/>
      <c r="BA9" s="139"/>
      <c r="BB9" s="74"/>
    </row>
    <row r="10" spans="1:54" s="68" customFormat="1" ht="46.5" customHeight="1" x14ac:dyDescent="0.25">
      <c r="A10" s="160" t="s">
        <v>159</v>
      </c>
      <c r="B10" s="159" t="s">
        <v>277</v>
      </c>
      <c r="C10" s="169" t="s">
        <v>278</v>
      </c>
      <c r="D10" s="169" t="s">
        <v>34</v>
      </c>
      <c r="E10" s="192" t="s">
        <v>303</v>
      </c>
      <c r="F10" s="166" t="s">
        <v>310</v>
      </c>
      <c r="G10" s="86">
        <v>1</v>
      </c>
      <c r="H10" s="86">
        <f t="shared" si="3"/>
        <v>0</v>
      </c>
      <c r="I10" s="86"/>
      <c r="J10" s="86"/>
      <c r="K10" s="189"/>
      <c r="L10" s="137"/>
      <c r="M10" s="182" t="s">
        <v>294</v>
      </c>
      <c r="N10" s="178" t="s">
        <v>293</v>
      </c>
      <c r="O10" s="179" t="s">
        <v>33</v>
      </c>
      <c r="P10" s="183" t="s">
        <v>304</v>
      </c>
      <c r="Q10" s="167" t="s">
        <v>206</v>
      </c>
      <c r="R10" s="86">
        <v>1</v>
      </c>
      <c r="S10" s="86"/>
      <c r="T10" s="86"/>
      <c r="U10" s="189"/>
      <c r="V10" s="137"/>
      <c r="W10" s="214"/>
      <c r="X10" s="149"/>
      <c r="Y10" s="149"/>
      <c r="Z10" s="149"/>
      <c r="AA10" s="149"/>
      <c r="AB10" s="149"/>
      <c r="AC10" s="149"/>
      <c r="AD10" s="215"/>
      <c r="AE10" s="149"/>
      <c r="AF10" s="149"/>
      <c r="AG10" s="149"/>
      <c r="AH10" s="149"/>
      <c r="AI10" s="149"/>
      <c r="AJ10" s="149"/>
      <c r="AK10" s="149"/>
      <c r="AL10" s="149"/>
      <c r="AS10" s="139" t="str">
        <f>AS4</f>
        <v>Strength-based drivers</v>
      </c>
      <c r="AT10" s="139">
        <f t="shared" ref="AT10:AU13" si="4">AU4</f>
        <v>3</v>
      </c>
      <c r="AU10" s="139">
        <f t="shared" si="4"/>
        <v>0</v>
      </c>
      <c r="AV10" s="139">
        <f>AT10-AU10</f>
        <v>3</v>
      </c>
      <c r="AW10" s="139"/>
      <c r="AX10" s="139"/>
      <c r="AY10" s="139"/>
      <c r="AZ10" s="74"/>
      <c r="BA10" s="74"/>
      <c r="BB10" s="74"/>
    </row>
    <row r="11" spans="1:54" s="68" customFormat="1" ht="60.75" thickBot="1" x14ac:dyDescent="0.3">
      <c r="A11" s="159"/>
      <c r="B11" s="159" t="s">
        <v>270</v>
      </c>
      <c r="C11" s="169" t="s">
        <v>275</v>
      </c>
      <c r="D11" s="169" t="s">
        <v>34</v>
      </c>
      <c r="E11" s="169" t="s">
        <v>303</v>
      </c>
      <c r="F11" s="166" t="s">
        <v>319</v>
      </c>
      <c r="G11" s="86">
        <v>1</v>
      </c>
      <c r="H11" s="86">
        <f t="shared" si="3"/>
        <v>0</v>
      </c>
      <c r="I11" s="86"/>
      <c r="J11" s="86"/>
      <c r="K11" s="189"/>
      <c r="L11" s="137"/>
      <c r="M11" s="175" t="s">
        <v>295</v>
      </c>
      <c r="N11" s="211" t="s">
        <v>343</v>
      </c>
      <c r="O11" s="197" t="s">
        <v>33</v>
      </c>
      <c r="P11" s="197" t="s">
        <v>304</v>
      </c>
      <c r="Q11" s="209" t="s">
        <v>342</v>
      </c>
      <c r="R11" s="147">
        <v>1</v>
      </c>
      <c r="S11" s="147"/>
      <c r="T11" s="147"/>
      <c r="U11" s="148"/>
      <c r="V11" s="137"/>
      <c r="W11" s="214"/>
      <c r="X11" s="149"/>
      <c r="Y11" s="149"/>
      <c r="Z11" s="149"/>
      <c r="AA11" s="149"/>
      <c r="AB11" s="149"/>
      <c r="AC11" s="149"/>
      <c r="AD11" s="215"/>
      <c r="AS11" s="139" t="str">
        <f>AS5</f>
        <v>Opportunity-based drivers</v>
      </c>
      <c r="AT11" s="139">
        <f t="shared" si="4"/>
        <v>6</v>
      </c>
      <c r="AU11" s="139">
        <f t="shared" si="4"/>
        <v>0</v>
      </c>
      <c r="AV11" s="139">
        <f t="shared" ref="AV11:AV13" si="5">AT11-AU11</f>
        <v>6</v>
      </c>
      <c r="AW11" s="139"/>
      <c r="AX11" s="139"/>
      <c r="AY11" s="139"/>
      <c r="AZ11" s="74"/>
      <c r="BA11" s="74"/>
      <c r="BB11" s="74"/>
    </row>
    <row r="12" spans="1:54" s="68" customFormat="1" ht="45.75" thickBot="1" x14ac:dyDescent="0.3">
      <c r="A12" s="174" t="s">
        <v>167</v>
      </c>
      <c r="B12" s="159" t="s">
        <v>271</v>
      </c>
      <c r="C12" s="200" t="s">
        <v>311</v>
      </c>
      <c r="D12" s="169" t="s">
        <v>34</v>
      </c>
      <c r="E12" s="169" t="s">
        <v>303</v>
      </c>
      <c r="F12" s="166" t="s">
        <v>192</v>
      </c>
      <c r="G12" s="86">
        <v>1</v>
      </c>
      <c r="H12" s="86">
        <f t="shared" si="3"/>
        <v>0</v>
      </c>
      <c r="I12" s="86"/>
      <c r="J12" s="86"/>
      <c r="K12" s="189"/>
      <c r="L12" s="137"/>
      <c r="M12" s="178" t="s">
        <v>296</v>
      </c>
      <c r="U12" s="74"/>
      <c r="V12" s="137"/>
      <c r="W12" s="214"/>
      <c r="X12" s="149"/>
      <c r="Y12" s="149"/>
      <c r="Z12" s="149"/>
      <c r="AA12" s="149"/>
      <c r="AB12" s="149"/>
      <c r="AC12" s="149"/>
      <c r="AD12" s="215"/>
      <c r="AS12" s="139" t="str">
        <f>AS6</f>
        <v>Weakness-based drivers</v>
      </c>
      <c r="AT12" s="139">
        <f t="shared" si="4"/>
        <v>8</v>
      </c>
      <c r="AU12" s="139">
        <f t="shared" si="4"/>
        <v>0</v>
      </c>
      <c r="AV12" s="139">
        <f t="shared" si="5"/>
        <v>8</v>
      </c>
      <c r="AW12" s="139"/>
      <c r="AX12" s="139"/>
      <c r="AY12" s="139"/>
      <c r="AZ12" s="74"/>
      <c r="BA12" s="74"/>
      <c r="BB12" s="74"/>
    </row>
    <row r="13" spans="1:54" s="68" customFormat="1" ht="60.75" thickBot="1" x14ac:dyDescent="0.3">
      <c r="A13" s="159" t="s">
        <v>116</v>
      </c>
      <c r="B13" s="159" t="s">
        <v>274</v>
      </c>
      <c r="C13" s="169" t="s">
        <v>314</v>
      </c>
      <c r="D13" s="169" t="s">
        <v>34</v>
      </c>
      <c r="E13" s="169" t="s">
        <v>303</v>
      </c>
      <c r="F13" s="166" t="s">
        <v>197</v>
      </c>
      <c r="G13" s="86">
        <v>1</v>
      </c>
      <c r="H13" s="86">
        <f t="shared" si="3"/>
        <v>0</v>
      </c>
      <c r="I13" s="86"/>
      <c r="J13" s="86"/>
      <c r="K13" s="189"/>
      <c r="L13" s="139"/>
      <c r="M13" s="181" t="s">
        <v>299</v>
      </c>
      <c r="N13" s="193"/>
      <c r="O13" s="194"/>
      <c r="P13" s="194"/>
      <c r="Q13" s="194" t="s">
        <v>327</v>
      </c>
      <c r="R13" s="195">
        <f>SUM(R14:R14)</f>
        <v>1</v>
      </c>
      <c r="S13" s="221" t="s">
        <v>350</v>
      </c>
      <c r="T13" s="221" t="s">
        <v>357</v>
      </c>
      <c r="U13" s="196"/>
      <c r="V13" s="139"/>
      <c r="W13" s="150"/>
      <c r="X13" s="151"/>
      <c r="Y13" s="151"/>
      <c r="Z13" s="151"/>
      <c r="AA13" s="151"/>
      <c r="AB13" s="151"/>
      <c r="AC13" s="151"/>
      <c r="AD13" s="152"/>
      <c r="AS13" s="139" t="str">
        <f>AS7</f>
        <v>Threat-based drivers</v>
      </c>
      <c r="AT13" s="139">
        <f t="shared" si="4"/>
        <v>1</v>
      </c>
      <c r="AU13" s="139">
        <f t="shared" si="4"/>
        <v>0</v>
      </c>
      <c r="AV13" s="139">
        <f t="shared" si="5"/>
        <v>1</v>
      </c>
      <c r="AW13" s="139"/>
      <c r="AX13" s="139"/>
      <c r="AY13" s="139"/>
      <c r="AZ13" s="74"/>
      <c r="BA13" s="74"/>
      <c r="BB13" s="74"/>
    </row>
    <row r="14" spans="1:54" s="68" customFormat="1" ht="45.75" thickBot="1" x14ac:dyDescent="0.3">
      <c r="A14" s="159" t="s">
        <v>176</v>
      </c>
      <c r="B14" s="159" t="s">
        <v>279</v>
      </c>
      <c r="C14" s="170" t="s">
        <v>282</v>
      </c>
      <c r="D14" s="170" t="s">
        <v>34</v>
      </c>
      <c r="E14" s="170" t="s">
        <v>303</v>
      </c>
      <c r="F14" s="187" t="s">
        <v>315</v>
      </c>
      <c r="G14" s="147">
        <v>1</v>
      </c>
      <c r="H14" s="147">
        <f>IF(K14=$AW$3,1,0)</f>
        <v>0</v>
      </c>
      <c r="I14" s="147"/>
      <c r="J14" s="147"/>
      <c r="K14" s="189"/>
      <c r="L14" s="137"/>
      <c r="M14" s="184" t="s">
        <v>300</v>
      </c>
      <c r="N14" s="184" t="s">
        <v>338</v>
      </c>
      <c r="O14" s="197" t="s">
        <v>34</v>
      </c>
      <c r="P14" s="185" t="s">
        <v>306</v>
      </c>
      <c r="Q14" s="209" t="s">
        <v>344</v>
      </c>
      <c r="R14" s="147">
        <v>1</v>
      </c>
      <c r="S14" s="147"/>
      <c r="T14" s="147"/>
      <c r="U14" s="148"/>
      <c r="W14" s="149"/>
      <c r="X14" s="149"/>
      <c r="Y14" s="149"/>
      <c r="Z14" s="149"/>
      <c r="AA14" s="149"/>
      <c r="AB14" s="149"/>
      <c r="AC14" s="149"/>
      <c r="AD14" s="149"/>
      <c r="AS14" s="139"/>
      <c r="AT14" s="139"/>
      <c r="AU14" s="139"/>
      <c r="AV14" s="139"/>
      <c r="AW14" s="139"/>
      <c r="AX14" s="139"/>
      <c r="AY14" s="139"/>
      <c r="AZ14" s="74"/>
      <c r="BA14" s="74"/>
      <c r="BB14" s="74"/>
    </row>
    <row r="15" spans="1:54" s="68" customFormat="1" ht="30.75" thickBot="1" x14ac:dyDescent="0.3">
      <c r="B15" s="162" t="s">
        <v>279</v>
      </c>
      <c r="L15" s="139"/>
      <c r="V15" s="139"/>
      <c r="W15" s="149"/>
      <c r="X15" s="149"/>
      <c r="Y15" s="149"/>
      <c r="Z15" s="149"/>
      <c r="AA15" s="149"/>
      <c r="AB15" s="149"/>
      <c r="AC15" s="149"/>
      <c r="AD15" s="149"/>
      <c r="AS15" s="139"/>
      <c r="AT15" s="139"/>
      <c r="AU15" s="139"/>
      <c r="AV15" s="139"/>
      <c r="AW15" s="139"/>
      <c r="AX15" s="139"/>
      <c r="AY15" s="139"/>
      <c r="AZ15" s="74"/>
      <c r="BA15" s="74"/>
      <c r="BB15" s="74"/>
    </row>
    <row r="16" spans="1:54" s="68" customFormat="1" ht="30.75" thickBot="1" x14ac:dyDescent="0.3">
      <c r="A16" s="159" t="s">
        <v>115</v>
      </c>
      <c r="L16" s="137"/>
      <c r="M16" s="193" t="s">
        <v>269</v>
      </c>
      <c r="V16" s="137"/>
      <c r="W16" s="74"/>
      <c r="X16" s="74"/>
      <c r="Y16" s="74"/>
      <c r="Z16" s="74"/>
      <c r="AS16" s="139"/>
      <c r="AT16" s="139"/>
      <c r="AU16" s="139"/>
      <c r="AV16" s="139"/>
      <c r="AW16" s="139"/>
      <c r="AX16" s="139"/>
      <c r="AY16" s="139"/>
      <c r="AZ16" s="74"/>
      <c r="BA16" s="74"/>
      <c r="BB16" s="74"/>
    </row>
    <row r="17" spans="1:54" s="68" customFormat="1" ht="30.75" thickBot="1" x14ac:dyDescent="0.3">
      <c r="A17" s="159" t="s">
        <v>160</v>
      </c>
      <c r="L17" s="137"/>
      <c r="M17" s="184" t="s">
        <v>280</v>
      </c>
      <c r="N17" s="141"/>
      <c r="O17" s="141"/>
      <c r="P17" s="141"/>
      <c r="Q17" s="141"/>
      <c r="R17" s="141"/>
      <c r="S17" s="141"/>
      <c r="T17" s="141"/>
      <c r="U17" s="141"/>
      <c r="V17" s="137"/>
      <c r="W17" s="74"/>
      <c r="X17" s="74"/>
      <c r="Y17" s="74"/>
      <c r="Z17" s="74"/>
      <c r="AS17" s="139"/>
      <c r="AT17" s="139"/>
      <c r="AU17" s="139"/>
      <c r="AV17" s="139"/>
      <c r="AW17" s="139"/>
      <c r="AX17" s="139"/>
      <c r="AY17" s="139"/>
      <c r="AZ17" s="74"/>
      <c r="BA17" s="74"/>
      <c r="BB17" s="74"/>
    </row>
    <row r="18" spans="1:54" s="68" customFormat="1" ht="42" customHeight="1" x14ac:dyDescent="0.25">
      <c r="A18" s="161"/>
      <c r="L18" s="138"/>
      <c r="N18" s="171"/>
      <c r="O18" s="171"/>
      <c r="P18" s="171"/>
      <c r="Q18" s="141"/>
      <c r="R18" s="141"/>
      <c r="S18" s="141"/>
      <c r="T18" s="141"/>
      <c r="U18" s="141"/>
      <c r="V18" s="138"/>
      <c r="W18" s="74"/>
      <c r="X18" s="74"/>
      <c r="Y18" s="74"/>
      <c r="Z18" s="74"/>
      <c r="AS18" s="139"/>
      <c r="AT18" s="139"/>
      <c r="AU18" s="139"/>
      <c r="AV18" s="139"/>
      <c r="AW18" s="139"/>
      <c r="AX18" s="139"/>
      <c r="AY18" s="139"/>
      <c r="AZ18" s="74"/>
      <c r="BA18" s="74"/>
      <c r="BB18" s="74"/>
    </row>
    <row r="19" spans="1:54" s="141" customFormat="1" ht="30" x14ac:dyDescent="0.25">
      <c r="A19" s="159" t="s">
        <v>175</v>
      </c>
      <c r="L19" s="139"/>
      <c r="N19" s="173"/>
      <c r="O19" s="173"/>
      <c r="P19" s="173"/>
      <c r="Q19" s="139"/>
      <c r="R19" s="139"/>
      <c r="S19" s="139"/>
      <c r="T19" s="139"/>
      <c r="U19" s="139"/>
      <c r="V19" s="139"/>
      <c r="W19" s="142"/>
      <c r="X19" s="142"/>
      <c r="Y19" s="142"/>
      <c r="Z19" s="142"/>
      <c r="AS19" s="307"/>
      <c r="AT19" s="307"/>
      <c r="AU19" s="307"/>
      <c r="AV19" s="307"/>
      <c r="AW19" s="307"/>
      <c r="AX19" s="307"/>
      <c r="AY19" s="307"/>
      <c r="AZ19" s="142"/>
      <c r="BA19" s="142"/>
      <c r="BB19" s="142"/>
    </row>
    <row r="20" spans="1:54" s="141" customFormat="1" ht="30.75" thickBot="1" x14ac:dyDescent="0.3">
      <c r="A20" s="162" t="s">
        <v>174</v>
      </c>
      <c r="B20" s="164"/>
      <c r="C20" s="168"/>
      <c r="D20" s="168"/>
      <c r="E20" s="168"/>
      <c r="L20" s="139"/>
      <c r="M20" s="137"/>
      <c r="N20" s="138"/>
      <c r="O20" s="138"/>
      <c r="P20" s="138"/>
      <c r="Q20" s="138"/>
      <c r="R20" s="138"/>
      <c r="S20" s="138"/>
      <c r="T20" s="138"/>
      <c r="U20" s="138"/>
      <c r="V20" s="139"/>
      <c r="W20" s="142"/>
      <c r="X20" s="142"/>
      <c r="Y20" s="142"/>
      <c r="Z20" s="142"/>
      <c r="AS20" s="307"/>
      <c r="AT20" s="307"/>
      <c r="AU20" s="307"/>
      <c r="AV20" s="307"/>
      <c r="AW20" s="307"/>
      <c r="AX20" s="307"/>
      <c r="AY20" s="307"/>
      <c r="AZ20" s="142"/>
      <c r="BA20" s="142"/>
      <c r="BB20" s="142"/>
    </row>
    <row r="21" spans="1:54" s="141" customFormat="1" ht="30" x14ac:dyDescent="0.25">
      <c r="A21" s="158" t="s">
        <v>169</v>
      </c>
      <c r="B21" s="165"/>
      <c r="C21" s="168"/>
      <c r="D21" s="168"/>
      <c r="E21" s="168"/>
      <c r="L21" s="139"/>
      <c r="M21" s="139"/>
      <c r="N21" s="173"/>
      <c r="O21" s="173"/>
      <c r="P21" s="173"/>
      <c r="Q21" s="139"/>
      <c r="R21" s="139"/>
      <c r="S21" s="139"/>
      <c r="T21" s="139"/>
      <c r="U21" s="139"/>
      <c r="V21" s="139"/>
      <c r="W21" s="142"/>
      <c r="X21" s="142"/>
      <c r="Y21" s="142"/>
      <c r="Z21" s="142"/>
      <c r="AS21" s="307"/>
      <c r="AT21" s="307"/>
      <c r="AU21" s="307"/>
      <c r="AV21" s="307"/>
      <c r="AW21" s="307"/>
      <c r="AX21" s="307"/>
      <c r="AY21" s="307"/>
      <c r="AZ21" s="142"/>
      <c r="BA21" s="142"/>
      <c r="BB21" s="142"/>
    </row>
    <row r="22" spans="1:54" s="141" customFormat="1" ht="18.75" x14ac:dyDescent="0.25">
      <c r="A22" s="143"/>
      <c r="B22" s="164"/>
      <c r="C22" s="168"/>
      <c r="D22" s="168"/>
      <c r="E22" s="168"/>
      <c r="L22" s="138"/>
      <c r="M22" s="138"/>
      <c r="N22" s="173"/>
      <c r="O22" s="173"/>
      <c r="P22" s="173"/>
      <c r="Q22" s="139"/>
      <c r="R22" s="139"/>
      <c r="S22" s="139"/>
      <c r="T22" s="139"/>
      <c r="U22" s="139"/>
      <c r="V22" s="138"/>
      <c r="W22" s="142"/>
      <c r="X22" s="142"/>
      <c r="Y22" s="142"/>
      <c r="Z22" s="142"/>
      <c r="AS22" s="307"/>
      <c r="AT22" s="307"/>
      <c r="AU22" s="307"/>
      <c r="AV22" s="307"/>
      <c r="AW22" s="307"/>
      <c r="AX22" s="307"/>
      <c r="AY22" s="307"/>
      <c r="AZ22" s="142"/>
      <c r="BA22" s="142"/>
      <c r="BB22" s="142"/>
    </row>
    <row r="23" spans="1:54" s="141" customFormat="1" ht="30" x14ac:dyDescent="0.25">
      <c r="A23" s="140" t="s">
        <v>125</v>
      </c>
      <c r="B23" s="164"/>
      <c r="C23" s="168"/>
      <c r="D23" s="168"/>
      <c r="E23" s="168"/>
      <c r="L23" s="139"/>
      <c r="M23" s="139"/>
      <c r="N23" s="173"/>
      <c r="O23" s="173"/>
      <c r="P23" s="173"/>
      <c r="Q23" s="139"/>
      <c r="R23" s="139"/>
      <c r="S23" s="139"/>
      <c r="T23" s="139"/>
      <c r="U23" s="139"/>
      <c r="V23" s="139"/>
      <c r="W23" s="142"/>
      <c r="X23" s="142"/>
      <c r="Y23" s="142"/>
      <c r="Z23" s="142"/>
      <c r="AS23" s="307"/>
      <c r="AT23" s="307"/>
      <c r="AU23" s="307"/>
      <c r="AV23" s="307"/>
      <c r="AW23" s="307"/>
      <c r="AX23" s="307"/>
      <c r="AY23" s="307"/>
      <c r="AZ23" s="142"/>
      <c r="BA23" s="142"/>
      <c r="BB23" s="142"/>
    </row>
    <row r="24" spans="1:54" s="141" customFormat="1" ht="30" x14ac:dyDescent="0.25">
      <c r="A24" s="140" t="s">
        <v>168</v>
      </c>
      <c r="B24" s="164"/>
      <c r="C24" s="168"/>
      <c r="D24" s="168"/>
      <c r="E24" s="168"/>
      <c r="L24" s="139"/>
      <c r="M24" s="139"/>
      <c r="N24" s="171"/>
      <c r="O24" s="171"/>
      <c r="P24" s="171"/>
      <c r="Q24" s="137"/>
      <c r="R24" s="137"/>
      <c r="S24" s="137"/>
      <c r="T24" s="137"/>
      <c r="U24" s="137"/>
      <c r="V24" s="139"/>
      <c r="W24" s="142"/>
      <c r="X24" s="142"/>
      <c r="Y24" s="142"/>
      <c r="Z24" s="142"/>
      <c r="AS24" s="307"/>
      <c r="AT24" s="307"/>
      <c r="AU24" s="307"/>
      <c r="AV24" s="307"/>
      <c r="AW24" s="307"/>
      <c r="AX24" s="307"/>
      <c r="AY24" s="307"/>
      <c r="AZ24" s="142"/>
      <c r="BA24" s="142"/>
      <c r="BB24" s="142"/>
    </row>
    <row r="25" spans="1:54" s="141" customFormat="1" ht="30" x14ac:dyDescent="0.25">
      <c r="A25" s="140" t="s">
        <v>171</v>
      </c>
      <c r="B25" s="164"/>
      <c r="C25" s="168"/>
      <c r="D25" s="168"/>
      <c r="E25" s="168"/>
      <c r="L25" s="139"/>
      <c r="M25" s="139"/>
      <c r="N25" s="138"/>
      <c r="O25" s="138"/>
      <c r="P25" s="138"/>
      <c r="Q25" s="138"/>
      <c r="R25" s="138"/>
      <c r="S25" s="138"/>
      <c r="T25" s="138"/>
      <c r="U25" s="138"/>
      <c r="V25" s="139"/>
      <c r="W25" s="142"/>
      <c r="X25" s="142"/>
      <c r="Y25" s="142"/>
      <c r="Z25" s="142"/>
      <c r="AS25" s="307"/>
      <c r="AT25" s="307"/>
      <c r="AU25" s="307"/>
      <c r="AV25" s="307"/>
      <c r="AW25" s="307"/>
      <c r="AX25" s="307"/>
      <c r="AY25" s="307"/>
      <c r="AZ25" s="142"/>
      <c r="BA25" s="142"/>
      <c r="BB25" s="142"/>
    </row>
    <row r="26" spans="1:54" s="141" customFormat="1" ht="30" x14ac:dyDescent="0.25">
      <c r="A26" s="140" t="s">
        <v>125</v>
      </c>
      <c r="B26" s="165"/>
      <c r="C26" s="168"/>
      <c r="D26" s="168"/>
      <c r="E26" s="168"/>
      <c r="L26" s="137"/>
      <c r="M26" s="137"/>
      <c r="N26" s="173"/>
      <c r="O26" s="173"/>
      <c r="P26" s="173"/>
      <c r="Q26" s="139"/>
      <c r="R26" s="139"/>
      <c r="S26" s="139"/>
      <c r="T26" s="139"/>
      <c r="U26" s="139"/>
      <c r="V26" s="137"/>
      <c r="W26" s="142"/>
      <c r="X26" s="142"/>
      <c r="Y26" s="142"/>
      <c r="Z26" s="142"/>
      <c r="AS26" s="307"/>
      <c r="AT26" s="307"/>
      <c r="AU26" s="307"/>
      <c r="AV26" s="307"/>
      <c r="AW26" s="307"/>
      <c r="AX26" s="307"/>
      <c r="AY26" s="307"/>
      <c r="AZ26" s="142"/>
      <c r="BA26" s="142"/>
      <c r="BB26" s="142"/>
    </row>
    <row r="27" spans="1:54" s="141" customFormat="1" ht="18.75" x14ac:dyDescent="0.25">
      <c r="A27" s="143"/>
      <c r="B27" s="164"/>
      <c r="C27" s="168"/>
      <c r="D27" s="168"/>
      <c r="E27" s="168"/>
      <c r="L27" s="138"/>
      <c r="M27" s="138"/>
      <c r="N27" s="173"/>
      <c r="O27" s="173"/>
      <c r="P27" s="173"/>
      <c r="Q27" s="139"/>
      <c r="R27" s="139"/>
      <c r="S27" s="139"/>
      <c r="T27" s="139"/>
      <c r="U27" s="139"/>
      <c r="V27" s="138"/>
      <c r="W27" s="142"/>
      <c r="X27" s="142"/>
      <c r="Y27" s="142"/>
      <c r="Z27" s="142"/>
      <c r="AS27" s="307"/>
      <c r="AT27" s="307"/>
      <c r="AU27" s="307"/>
      <c r="AV27" s="307"/>
      <c r="AW27" s="307"/>
      <c r="AX27" s="307"/>
      <c r="AY27" s="307"/>
      <c r="AZ27" s="142"/>
      <c r="BA27" s="142"/>
      <c r="BB27" s="142"/>
    </row>
    <row r="28" spans="1:54" s="141" customFormat="1" ht="30" x14ac:dyDescent="0.25">
      <c r="A28" s="140" t="s">
        <v>124</v>
      </c>
      <c r="B28" s="164"/>
      <c r="C28" s="168"/>
      <c r="D28" s="168"/>
      <c r="E28" s="168"/>
      <c r="L28" s="139"/>
      <c r="M28" s="139"/>
      <c r="N28" s="173"/>
      <c r="O28" s="173"/>
      <c r="P28" s="173"/>
      <c r="Q28" s="139"/>
      <c r="R28" s="139"/>
      <c r="S28" s="139"/>
      <c r="T28" s="139"/>
      <c r="U28" s="139"/>
      <c r="V28" s="139"/>
      <c r="W28" s="142"/>
      <c r="X28" s="142"/>
      <c r="Y28" s="142"/>
      <c r="Z28" s="142"/>
      <c r="AS28" s="307"/>
      <c r="AT28" s="307"/>
      <c r="AU28" s="307"/>
      <c r="AV28" s="307"/>
      <c r="AW28" s="307"/>
      <c r="AX28" s="307"/>
      <c r="AY28" s="307"/>
      <c r="AZ28" s="142"/>
      <c r="BA28" s="142"/>
      <c r="BB28" s="142"/>
    </row>
    <row r="29" spans="1:54" s="141" customFormat="1" ht="30" x14ac:dyDescent="0.25">
      <c r="A29" s="140" t="s">
        <v>164</v>
      </c>
      <c r="B29" s="164"/>
      <c r="C29" s="168"/>
      <c r="D29" s="168"/>
      <c r="E29" s="168"/>
      <c r="L29" s="139"/>
      <c r="M29" s="139"/>
      <c r="N29" s="138"/>
      <c r="O29" s="138"/>
      <c r="P29" s="138"/>
      <c r="Q29" s="138"/>
      <c r="R29" s="138"/>
      <c r="S29" s="138"/>
      <c r="T29" s="138"/>
      <c r="U29" s="138"/>
      <c r="V29" s="139"/>
      <c r="W29" s="142"/>
      <c r="X29" s="142"/>
      <c r="Y29" s="142"/>
      <c r="Z29" s="142"/>
      <c r="AS29" s="307"/>
      <c r="AT29" s="307"/>
      <c r="AU29" s="307"/>
      <c r="AV29" s="307"/>
      <c r="AW29" s="307"/>
      <c r="AX29" s="307"/>
      <c r="AY29" s="307"/>
      <c r="AZ29" s="142"/>
      <c r="BA29" s="142"/>
      <c r="BB29" s="142"/>
    </row>
    <row r="30" spans="1:54" s="141" customFormat="1" ht="30" x14ac:dyDescent="0.25">
      <c r="A30" s="140" t="s">
        <v>165</v>
      </c>
      <c r="B30" s="165"/>
      <c r="C30" s="168"/>
      <c r="D30" s="168"/>
      <c r="E30" s="168"/>
      <c r="L30" s="139"/>
      <c r="M30" s="139"/>
      <c r="N30" s="173"/>
      <c r="O30" s="173"/>
      <c r="P30" s="173"/>
      <c r="Q30" s="139"/>
      <c r="R30" s="139"/>
      <c r="S30" s="139"/>
      <c r="T30" s="139"/>
      <c r="U30" s="139"/>
      <c r="V30" s="139"/>
      <c r="W30" s="142"/>
      <c r="X30" s="142"/>
      <c r="Y30" s="142"/>
      <c r="Z30" s="142"/>
      <c r="AS30" s="307"/>
      <c r="AT30" s="307"/>
      <c r="AU30" s="307"/>
      <c r="AV30" s="307"/>
      <c r="AW30" s="307"/>
      <c r="AX30" s="307"/>
      <c r="AY30" s="307"/>
      <c r="AZ30" s="142"/>
      <c r="BA30" s="142"/>
      <c r="BB30" s="142"/>
    </row>
    <row r="31" spans="1:54" s="141" customFormat="1" ht="18.75" x14ac:dyDescent="0.25">
      <c r="A31" s="143"/>
      <c r="B31" s="164"/>
      <c r="C31" s="168"/>
      <c r="D31" s="168"/>
      <c r="E31" s="168"/>
      <c r="L31" s="138"/>
      <c r="M31" s="138"/>
      <c r="N31" s="173"/>
      <c r="O31" s="173"/>
      <c r="P31" s="173"/>
      <c r="Q31" s="139"/>
      <c r="R31" s="139"/>
      <c r="S31" s="139"/>
      <c r="T31" s="139"/>
      <c r="U31" s="139"/>
      <c r="V31" s="138"/>
      <c r="W31" s="142"/>
      <c r="X31" s="142"/>
      <c r="Y31" s="142"/>
      <c r="Z31" s="142"/>
      <c r="AS31" s="307"/>
      <c r="AT31" s="307"/>
      <c r="AU31" s="307"/>
      <c r="AV31" s="307"/>
      <c r="AW31" s="307"/>
      <c r="AX31" s="307"/>
      <c r="AY31" s="307"/>
      <c r="AZ31" s="142"/>
      <c r="BA31" s="142"/>
      <c r="BB31" s="142"/>
    </row>
    <row r="32" spans="1:54" s="141" customFormat="1" ht="30" x14ac:dyDescent="0.25">
      <c r="A32" s="140" t="s">
        <v>152</v>
      </c>
      <c r="B32" s="164"/>
      <c r="C32" s="168"/>
      <c r="D32" s="168"/>
      <c r="E32" s="168"/>
      <c r="L32" s="139"/>
      <c r="M32" s="139"/>
      <c r="N32" s="173"/>
      <c r="O32" s="173"/>
      <c r="P32" s="173"/>
      <c r="Q32" s="139"/>
      <c r="R32" s="139"/>
      <c r="S32" s="139"/>
      <c r="T32" s="139"/>
      <c r="U32" s="139"/>
      <c r="V32" s="139"/>
      <c r="W32" s="142"/>
      <c r="X32" s="142"/>
      <c r="Y32" s="142"/>
      <c r="Z32" s="142"/>
      <c r="AS32" s="307"/>
      <c r="AT32" s="307"/>
      <c r="AU32" s="307"/>
      <c r="AV32" s="307"/>
      <c r="AW32" s="307"/>
      <c r="AX32" s="307"/>
      <c r="AY32" s="307"/>
      <c r="AZ32" s="142"/>
      <c r="BA32" s="142"/>
      <c r="BB32" s="142"/>
    </row>
    <row r="33" spans="1:54" s="141" customFormat="1" ht="30" x14ac:dyDescent="0.25">
      <c r="A33" s="140" t="s">
        <v>163</v>
      </c>
      <c r="B33" s="164"/>
      <c r="C33" s="168"/>
      <c r="D33" s="168"/>
      <c r="E33" s="168"/>
      <c r="L33" s="139"/>
      <c r="M33" s="139"/>
      <c r="N33" s="171"/>
      <c r="O33" s="171"/>
      <c r="P33" s="171"/>
      <c r="Q33" s="137"/>
      <c r="R33" s="137"/>
      <c r="S33" s="137"/>
      <c r="T33" s="137"/>
      <c r="U33" s="137"/>
      <c r="V33" s="139"/>
      <c r="W33" s="142"/>
      <c r="X33" s="142"/>
      <c r="Y33" s="142"/>
      <c r="Z33" s="142"/>
      <c r="AS33" s="307"/>
      <c r="AT33" s="307"/>
      <c r="AU33" s="307"/>
      <c r="AV33" s="307"/>
      <c r="AW33" s="307"/>
      <c r="AX33" s="307"/>
      <c r="AY33" s="307"/>
      <c r="AZ33" s="142"/>
      <c r="BA33" s="142"/>
      <c r="BB33" s="142"/>
    </row>
    <row r="34" spans="1:54" s="141" customFormat="1" ht="30" x14ac:dyDescent="0.25">
      <c r="A34" s="140" t="s">
        <v>172</v>
      </c>
      <c r="B34" s="164"/>
      <c r="C34" s="168"/>
      <c r="D34" s="168"/>
      <c r="E34" s="168"/>
      <c r="L34" s="139"/>
      <c r="M34" s="139"/>
      <c r="N34" s="172"/>
      <c r="O34" s="172"/>
      <c r="P34" s="172"/>
      <c r="Q34" s="48"/>
      <c r="R34" s="48"/>
      <c r="S34" s="48"/>
      <c r="T34" s="48"/>
      <c r="U34" s="48"/>
      <c r="V34" s="139"/>
      <c r="W34" s="142"/>
      <c r="X34" s="142"/>
      <c r="Y34" s="142"/>
      <c r="Z34" s="142"/>
      <c r="AS34" s="307"/>
      <c r="AT34" s="307"/>
      <c r="AU34" s="307"/>
      <c r="AV34" s="307"/>
      <c r="AW34" s="307"/>
      <c r="AX34" s="307"/>
      <c r="AY34" s="307"/>
      <c r="AZ34" s="142"/>
      <c r="BA34" s="142"/>
      <c r="BB34" s="142"/>
    </row>
    <row r="35" spans="1:54" s="141" customFormat="1" ht="30.75" thickBot="1" x14ac:dyDescent="0.3">
      <c r="A35" s="144" t="s">
        <v>161</v>
      </c>
      <c r="B35" s="67"/>
      <c r="C35" s="191"/>
      <c r="D35" s="1"/>
      <c r="E35" s="1"/>
      <c r="F35" s="67"/>
      <c r="G35" s="74"/>
      <c r="H35" s="74"/>
      <c r="I35" s="74"/>
      <c r="J35" s="74"/>
      <c r="K35" s="48"/>
      <c r="L35" s="137"/>
      <c r="M35" s="137"/>
      <c r="N35" s="172"/>
      <c r="O35" s="172"/>
      <c r="P35" s="172"/>
      <c r="Q35" s="48"/>
      <c r="R35" s="48"/>
      <c r="S35" s="48"/>
      <c r="T35" s="48"/>
      <c r="U35" s="48"/>
      <c r="V35" s="137"/>
      <c r="W35" s="142"/>
      <c r="X35" s="142"/>
      <c r="Y35" s="142"/>
      <c r="Z35" s="142"/>
      <c r="AS35" s="307"/>
      <c r="AT35" s="307"/>
      <c r="AU35" s="307"/>
      <c r="AV35" s="307"/>
      <c r="AW35" s="307"/>
      <c r="AX35" s="307"/>
      <c r="AY35" s="307"/>
      <c r="AZ35" s="142"/>
      <c r="BA35" s="142"/>
      <c r="BB35" s="142"/>
    </row>
  </sheetData>
  <sortState ref="Q12:Q14">
    <sortCondition ref="Q11"/>
  </sortState>
  <mergeCells count="6">
    <mergeCell ref="K2:V2"/>
    <mergeCell ref="B2:F2"/>
    <mergeCell ref="AR7:AR9"/>
    <mergeCell ref="AR4:AR6"/>
    <mergeCell ref="W3:AD3"/>
    <mergeCell ref="W8:AD8"/>
  </mergeCells>
  <conditionalFormatting sqref="L18 L3 R11:T11 L9 V3 V18 U13 L22:M22 V22 N20:U20 L27:M27 V27 N25:U25 L31:M31 V31 N29:U29">
    <cfRule type="cellIs" dxfId="103" priority="89" operator="equal">
      <formula>#REF!</formula>
    </cfRule>
  </conditionalFormatting>
  <conditionalFormatting sqref="Q4:Q11">
    <cfRule type="cellIs" dxfId="102" priority="88" operator="equal">
      <formula>#REF!</formula>
    </cfRule>
  </conditionalFormatting>
  <conditionalFormatting sqref="Q13 A12 B8:C8 F8:H8">
    <cfRule type="cellIs" dxfId="101" priority="74" operator="equal">
      <formula>#REF!</formula>
    </cfRule>
  </conditionalFormatting>
  <conditionalFormatting sqref="N13:P13">
    <cfRule type="cellIs" dxfId="100" priority="41" operator="equal">
      <formula>#REF!</formula>
    </cfRule>
  </conditionalFormatting>
  <conditionalFormatting sqref="M16">
    <cfRule type="cellIs" dxfId="99" priority="40" operator="equal">
      <formula>#REF!</formula>
    </cfRule>
  </conditionalFormatting>
  <conditionalFormatting sqref="M3:R3 F10:F14">
    <cfRule type="cellIs" dxfId="98" priority="39" operator="equal">
      <formula>#REF!</formula>
    </cfRule>
  </conditionalFormatting>
  <conditionalFormatting sqref="A3:H3 K3">
    <cfRule type="cellIs" dxfId="97" priority="36" operator="equal">
      <formula>#REF!</formula>
    </cfRule>
  </conditionalFormatting>
  <conditionalFormatting sqref="U3">
    <cfRule type="cellIs" dxfId="96" priority="35" operator="equal">
      <formula>#REF!</formula>
    </cfRule>
  </conditionalFormatting>
  <conditionalFormatting sqref="K8">
    <cfRule type="cellIs" dxfId="95" priority="34" operator="equal">
      <formula>#REF!</formula>
    </cfRule>
  </conditionalFormatting>
  <conditionalFormatting sqref="D8:E8">
    <cfRule type="cellIs" dxfId="94" priority="29" operator="equal">
      <formula>#REF!</formula>
    </cfRule>
  </conditionalFormatting>
  <conditionalFormatting sqref="P14">
    <cfRule type="cellIs" dxfId="93" priority="21" operator="equal">
      <formula>#REF!</formula>
    </cfRule>
  </conditionalFormatting>
  <conditionalFormatting sqref="P14">
    <cfRule type="cellIs" dxfId="92" priority="20" operator="equal">
      <formula>#REF!</formula>
    </cfRule>
  </conditionalFormatting>
  <conditionalFormatting sqref="F4:F5">
    <cfRule type="cellIs" dxfId="91" priority="18" operator="equal">
      <formula>#REF!</formula>
    </cfRule>
  </conditionalFormatting>
  <conditionalFormatting sqref="F6">
    <cfRule type="cellIs" dxfId="90" priority="17" operator="equal">
      <formula>#REF!</formula>
    </cfRule>
  </conditionalFormatting>
  <conditionalFormatting sqref="F9:F10">
    <cfRule type="cellIs" dxfId="89" priority="16" operator="equal">
      <formula>#REF!</formula>
    </cfRule>
  </conditionalFormatting>
  <conditionalFormatting sqref="F14">
    <cfRule type="cellIs" dxfId="88" priority="14" operator="equal">
      <formula>#REF!</formula>
    </cfRule>
  </conditionalFormatting>
  <conditionalFormatting sqref="Q14">
    <cfRule type="cellIs" dxfId="87" priority="12" operator="equal">
      <formula>#REF!</formula>
    </cfRule>
  </conditionalFormatting>
  <conditionalFormatting sqref="I3">
    <cfRule type="cellIs" dxfId="86" priority="11" operator="equal">
      <formula>#REF!</formula>
    </cfRule>
  </conditionalFormatting>
  <conditionalFormatting sqref="S3">
    <cfRule type="cellIs" dxfId="85" priority="9" operator="equal">
      <formula>#REF!</formula>
    </cfRule>
  </conditionalFormatting>
  <conditionalFormatting sqref="I8">
    <cfRule type="cellIs" dxfId="84" priority="8" operator="equal">
      <formula>#REF!</formula>
    </cfRule>
  </conditionalFormatting>
  <conditionalFormatting sqref="S13">
    <cfRule type="cellIs" dxfId="83" priority="7" operator="equal">
      <formula>#REF!</formula>
    </cfRule>
  </conditionalFormatting>
  <conditionalFormatting sqref="J8">
    <cfRule type="cellIs" dxfId="82" priority="4" operator="equal">
      <formula>#REF!</formula>
    </cfRule>
  </conditionalFormatting>
  <conditionalFormatting sqref="J3">
    <cfRule type="cellIs" dxfId="81" priority="3" operator="equal">
      <formula>#REF!</formula>
    </cfRule>
  </conditionalFormatting>
  <conditionalFormatting sqref="T3">
    <cfRule type="cellIs" dxfId="80" priority="2" operator="equal">
      <formula>#REF!</formula>
    </cfRule>
  </conditionalFormatting>
  <conditionalFormatting sqref="T13">
    <cfRule type="cellIs" dxfId="79" priority="1" operator="equal">
      <formula>#REF!</formula>
    </cfRule>
  </conditionalFormatting>
  <dataValidations count="4">
    <dataValidation allowBlank="1" showInputMessage="1" showErrorMessage="1" prompt="Please complete" sqref="K2" xr:uid="{00000000-0002-0000-0000-000000000000}"/>
    <dataValidation type="list" allowBlank="1" showInputMessage="1" showErrorMessage="1" sqref="R14:T14 L19:L21 L10:L17 L4:L8 V4:V13 V15:V17 N19:U19 M21 V19:V21 N30:U33 L32:M35 V32:V35 N21:U24 L23:M26 V23:V26 N26:U28 L28:M30 V28:V30 R4:T10" xr:uid="{00000000-0002-0000-0000-000001000000}">
      <formula1>$AW$3:$AW$5</formula1>
    </dataValidation>
    <dataValidation allowBlank="1" showInputMessage="1" sqref="Q13" xr:uid="{00000000-0002-0000-0000-000002000000}"/>
    <dataValidation type="list" allowBlank="1" showInputMessage="1" showErrorMessage="1" sqref="K4:K6 U14 K9:K14 U4:U11" xr:uid="{00000000-0002-0000-0000-000003000000}">
      <formula1>$AW$3</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9"/>
  <dimension ref="A1:AF36"/>
  <sheetViews>
    <sheetView topLeftCell="B1" zoomScaleNormal="100" workbookViewId="0">
      <selection activeCell="B13" sqref="B13"/>
    </sheetView>
  </sheetViews>
  <sheetFormatPr baseColWidth="10" defaultRowHeight="15" x14ac:dyDescent="0.25"/>
  <cols>
    <col min="1" max="1" width="12.42578125" hidden="1" customWidth="1"/>
    <col min="2" max="2" width="61.7109375" style="92" customWidth="1"/>
    <col min="3" max="3" width="5.5703125" style="95" hidden="1" customWidth="1"/>
    <col min="4" max="4" width="12.85546875" style="91" customWidth="1"/>
    <col min="5" max="5" width="5.85546875" style="99" customWidth="1"/>
    <col min="6" max="9" width="12.42578125" style="91" customWidth="1"/>
    <col min="10" max="10" width="8.7109375" style="92" customWidth="1"/>
    <col min="11" max="31" width="11.42578125" style="92"/>
    <col min="32" max="32" width="0" style="92" hidden="1" customWidth="1"/>
    <col min="33" max="16384" width="11.42578125" style="92"/>
  </cols>
  <sheetData>
    <row r="1" spans="1:32" ht="24" thickBot="1" x14ac:dyDescent="0.4">
      <c r="B1" s="112" t="s">
        <v>245</v>
      </c>
      <c r="C1" s="113"/>
      <c r="D1" s="328" t="s">
        <v>255</v>
      </c>
      <c r="E1" s="328"/>
      <c r="F1" s="328"/>
      <c r="G1" s="328"/>
      <c r="H1" s="328"/>
      <c r="I1" s="328"/>
      <c r="J1" s="328"/>
    </row>
    <row r="2" spans="1:32" ht="15.75" thickBot="1" x14ac:dyDescent="0.3"/>
    <row r="3" spans="1:32" ht="19.5" thickBot="1" x14ac:dyDescent="0.3">
      <c r="A3" s="322" t="s">
        <v>254</v>
      </c>
      <c r="B3" s="323"/>
      <c r="C3" s="323"/>
      <c r="D3" s="324"/>
      <c r="E3" s="90"/>
      <c r="F3" s="90"/>
      <c r="G3" s="90"/>
      <c r="H3" s="90"/>
    </row>
    <row r="4" spans="1:32" s="84" customFormat="1" ht="32.25" thickBot="1" x14ac:dyDescent="0.3">
      <c r="A4" s="100"/>
      <c r="B4" s="128" t="s">
        <v>196</v>
      </c>
      <c r="C4" s="108">
        <f>SUM(C5:C9)</f>
        <v>5</v>
      </c>
      <c r="D4" s="110" t="s">
        <v>249</v>
      </c>
      <c r="E4" s="93"/>
      <c r="F4" s="325" t="str">
        <f>Data!C4</f>
        <v xml:space="preserve"> -- Alignment with adoption drivers</v>
      </c>
      <c r="G4" s="326"/>
      <c r="H4" s="326"/>
      <c r="I4" s="326"/>
      <c r="J4" s="327"/>
      <c r="K4" s="93"/>
      <c r="AB4" s="47" t="s">
        <v>242</v>
      </c>
      <c r="AC4" s="5" t="s">
        <v>241</v>
      </c>
      <c r="AD4" s="87" t="s">
        <v>238</v>
      </c>
      <c r="AE4" s="47" t="s">
        <v>239</v>
      </c>
      <c r="AF4" s="46" t="s">
        <v>2</v>
      </c>
    </row>
    <row r="5" spans="1:32" s="84" customFormat="1" ht="45" x14ac:dyDescent="0.25">
      <c r="A5" s="101" t="s">
        <v>25</v>
      </c>
      <c r="B5" s="125" t="s">
        <v>237</v>
      </c>
      <c r="C5" s="86">
        <v>1</v>
      </c>
      <c r="D5" s="111"/>
      <c r="E5" s="93"/>
      <c r="F5" s="115"/>
      <c r="G5" s="114"/>
      <c r="H5" s="114"/>
      <c r="I5" s="114"/>
      <c r="J5" s="116"/>
      <c r="K5" s="93"/>
      <c r="AB5" s="5" t="str">
        <f>_xlfn.CONCAT(B4)</f>
        <v>Reuse opportunities</v>
      </c>
      <c r="AC5" s="89">
        <f t="shared" ref="AC5:AC10" si="0">AE5/AD5</f>
        <v>0.4</v>
      </c>
      <c r="AD5" s="46">
        <f>C4</f>
        <v>5</v>
      </c>
      <c r="AE5" s="46">
        <f>IF(D5=AF4,1,0)+IF(D6=AF4,1,0)+IF(D7=AF4,1,0)+IF(D8=AF4,1,0)+IF(D9=AF4,1,0)</f>
        <v>2</v>
      </c>
      <c r="AF5" s="46" t="s">
        <v>0</v>
      </c>
    </row>
    <row r="6" spans="1:32" s="84" customFormat="1" ht="42.75" customHeight="1" x14ac:dyDescent="0.25">
      <c r="A6" s="101" t="s">
        <v>19</v>
      </c>
      <c r="B6" s="126" t="s">
        <v>192</v>
      </c>
      <c r="C6" s="86">
        <v>1</v>
      </c>
      <c r="D6" s="111" t="s">
        <v>2</v>
      </c>
      <c r="E6" s="93"/>
      <c r="F6" s="115"/>
      <c r="G6" s="114"/>
      <c r="H6" s="114"/>
      <c r="I6" s="114"/>
      <c r="J6" s="116"/>
      <c r="K6" s="93"/>
      <c r="AB6" s="5" t="str">
        <f>_xlfn.CONCAT(B10)</f>
        <v>Discomfort - lack of systematic and planned reuse among products</v>
      </c>
      <c r="AC6" s="88">
        <f t="shared" si="0"/>
        <v>0</v>
      </c>
      <c r="AD6" s="46">
        <f>C10</f>
        <v>8</v>
      </c>
      <c r="AE6" s="46">
        <f>IF(D11=AF4,1,0)+IF(D12=AF4,1,0)+IF(D13=AF4,1,0)+IF(D14=AF4,1,0)+IF(D14=AF4,1,0)+IF(D15=AF4,1,0)+IF(D16=AF4,1,0)+IF(D17=AF4,1,0)+IF(D18=AF4,1,0)</f>
        <v>0</v>
      </c>
      <c r="AF6" s="46" t="s">
        <v>240</v>
      </c>
    </row>
    <row r="7" spans="1:32" s="84" customFormat="1" ht="48" customHeight="1" x14ac:dyDescent="0.25">
      <c r="A7" s="101" t="s">
        <v>138</v>
      </c>
      <c r="B7" s="126" t="s">
        <v>197</v>
      </c>
      <c r="C7" s="86">
        <v>1</v>
      </c>
      <c r="D7" s="111"/>
      <c r="E7" s="93"/>
      <c r="F7" s="115"/>
      <c r="G7" s="114"/>
      <c r="H7" s="114"/>
      <c r="I7" s="114"/>
      <c r="J7" s="116"/>
      <c r="K7" s="93"/>
      <c r="AB7" s="5" t="str">
        <f>_xlfn.CONCAT(B19)</f>
        <v>Discomfort - product quality weaknesses</v>
      </c>
      <c r="AC7" s="89">
        <f t="shared" si="0"/>
        <v>0</v>
      </c>
      <c r="AD7" s="46">
        <f>C19</f>
        <v>3</v>
      </c>
      <c r="AE7" s="46">
        <f>IF(D20=AF4,1,0)+IF(D21=AF4,1,0)+IF(D22=AF4,1,0)</f>
        <v>0</v>
      </c>
      <c r="AF7" s="46"/>
    </row>
    <row r="8" spans="1:32" s="84" customFormat="1" ht="30" customHeight="1" thickBot="1" x14ac:dyDescent="0.3">
      <c r="A8" s="101" t="s">
        <v>121</v>
      </c>
      <c r="B8" s="126" t="s">
        <v>193</v>
      </c>
      <c r="C8" s="86">
        <v>1</v>
      </c>
      <c r="D8" s="111" t="s">
        <v>2</v>
      </c>
      <c r="E8" s="93"/>
      <c r="F8" s="117"/>
      <c r="G8" s="118"/>
      <c r="H8" s="118"/>
      <c r="I8" s="118"/>
      <c r="J8" s="119"/>
      <c r="K8" s="93"/>
      <c r="AB8" s="5" t="str">
        <f>_xlfn.CONCAT(B23)</f>
        <v>Discomfort - management problems</v>
      </c>
      <c r="AC8" s="89">
        <f t="shared" si="0"/>
        <v>0</v>
      </c>
      <c r="AD8" s="46">
        <f>C23</f>
        <v>4</v>
      </c>
      <c r="AE8" s="46">
        <f>IF(D24=AF4,1,0)+IF(D25=AF4,1,0)+IF(D26=AF4,1,0)+IF(D27=AF4,1,0)</f>
        <v>0</v>
      </c>
      <c r="AF8" s="46"/>
    </row>
    <row r="9" spans="1:32" s="84" customFormat="1" ht="35.25" customHeight="1" thickBot="1" x14ac:dyDescent="0.3">
      <c r="A9" s="101" t="s">
        <v>122</v>
      </c>
      <c r="B9" s="127" t="s">
        <v>194</v>
      </c>
      <c r="C9" s="86">
        <v>1</v>
      </c>
      <c r="D9" s="111"/>
      <c r="E9" s="93"/>
      <c r="F9" s="120"/>
      <c r="G9" s="120"/>
      <c r="H9" s="120"/>
      <c r="I9" s="120"/>
      <c r="J9" s="120"/>
      <c r="K9" s="93"/>
      <c r="AB9" s="5" t="str">
        <f>_xlfn.CONCAT(B28)</f>
        <v>Organizational challenges</v>
      </c>
      <c r="AC9" s="89">
        <f t="shared" si="0"/>
        <v>0</v>
      </c>
      <c r="AD9" s="46">
        <f>C28</f>
        <v>3</v>
      </c>
      <c r="AE9" s="46">
        <f>IF(D29=AF4,1,0)+IF(D30=AF4,1,0)+IF(D31=AF4,1,0)</f>
        <v>0</v>
      </c>
      <c r="AF9" s="46"/>
    </row>
    <row r="10" spans="1:32" s="84" customFormat="1" ht="37.5" customHeight="1" thickBot="1" x14ac:dyDescent="0.3">
      <c r="A10" s="103"/>
      <c r="B10" s="128" t="s">
        <v>198</v>
      </c>
      <c r="C10" s="108">
        <f>SUM(C11:C18)</f>
        <v>8</v>
      </c>
      <c r="D10" s="109"/>
      <c r="E10" s="93"/>
      <c r="F10" s="114"/>
      <c r="G10" s="114"/>
      <c r="H10" s="114"/>
      <c r="I10" s="114"/>
      <c r="J10" s="114"/>
      <c r="K10" s="93"/>
      <c r="AB10" s="5" t="str">
        <f>_xlfn.CONCAT(B32)</f>
        <v>Organizational opportunities</v>
      </c>
      <c r="AC10" s="89">
        <f t="shared" si="0"/>
        <v>0</v>
      </c>
      <c r="AD10" s="46">
        <f>C32</f>
        <v>4</v>
      </c>
      <c r="AE10" s="46">
        <f>IF(D33=AF4,1,0)+IF(D34=AF4,1,0)+IF(D35=AF4,1,0)+IF(D36=AF4,1,0)</f>
        <v>0</v>
      </c>
      <c r="AF10" s="46"/>
    </row>
    <row r="11" spans="1:32" s="84" customFormat="1" ht="30" x14ac:dyDescent="0.25">
      <c r="A11" s="104" t="s">
        <v>159</v>
      </c>
      <c r="B11" s="129" t="s">
        <v>204</v>
      </c>
      <c r="C11" s="86">
        <v>1</v>
      </c>
      <c r="D11" s="111"/>
      <c r="E11" s="94"/>
      <c r="F11" s="93"/>
      <c r="G11" s="95"/>
      <c r="H11" s="95"/>
      <c r="I11" s="95"/>
      <c r="J11" s="93"/>
      <c r="K11" s="93"/>
    </row>
    <row r="12" spans="1:32" s="84" customFormat="1" ht="30" x14ac:dyDescent="0.25">
      <c r="A12" s="101" t="s">
        <v>180</v>
      </c>
      <c r="B12" s="133" t="s">
        <v>257</v>
      </c>
      <c r="C12" s="86">
        <v>1</v>
      </c>
      <c r="D12" s="111"/>
      <c r="E12" s="94"/>
      <c r="F12" s="95"/>
      <c r="G12" s="95"/>
      <c r="H12" s="95"/>
      <c r="I12" s="95"/>
      <c r="J12" s="93"/>
      <c r="K12" s="93"/>
    </row>
    <row r="13" spans="1:32" s="84" customFormat="1" ht="30" x14ac:dyDescent="0.25">
      <c r="A13" s="101" t="s">
        <v>167</v>
      </c>
      <c r="B13" s="126" t="s">
        <v>205</v>
      </c>
      <c r="C13" s="86">
        <v>1</v>
      </c>
      <c r="D13" s="111"/>
      <c r="E13" s="94"/>
      <c r="F13" s="95"/>
      <c r="G13" s="95"/>
      <c r="H13" s="95"/>
      <c r="I13" s="95"/>
      <c r="J13" s="93"/>
      <c r="K13" s="93"/>
    </row>
    <row r="14" spans="1:32" s="84" customFormat="1" ht="30" x14ac:dyDescent="0.25">
      <c r="A14" s="101" t="s">
        <v>116</v>
      </c>
      <c r="B14" s="126" t="s">
        <v>243</v>
      </c>
      <c r="C14" s="86">
        <v>1</v>
      </c>
      <c r="D14" s="102"/>
      <c r="E14" s="94"/>
      <c r="F14" s="95"/>
      <c r="G14" s="95"/>
      <c r="H14" s="95"/>
      <c r="I14" s="95"/>
      <c r="J14" s="93"/>
      <c r="K14" s="93"/>
    </row>
    <row r="15" spans="1:32" s="84" customFormat="1" ht="30" x14ac:dyDescent="0.25">
      <c r="A15" s="101" t="s">
        <v>176</v>
      </c>
      <c r="B15" s="126" t="s">
        <v>183</v>
      </c>
      <c r="C15" s="86">
        <v>1</v>
      </c>
      <c r="D15" s="111"/>
      <c r="E15" s="94"/>
      <c r="F15" s="95"/>
      <c r="G15" s="95"/>
      <c r="H15" s="95"/>
      <c r="I15" s="95"/>
      <c r="J15" s="93"/>
      <c r="K15" s="93"/>
    </row>
    <row r="16" spans="1:32" s="84" customFormat="1" x14ac:dyDescent="0.25">
      <c r="A16" s="101" t="s">
        <v>114</v>
      </c>
      <c r="B16" s="126" t="s">
        <v>184</v>
      </c>
      <c r="C16" s="86">
        <v>1</v>
      </c>
      <c r="D16" s="102"/>
      <c r="E16" s="94"/>
      <c r="F16" s="95"/>
      <c r="G16" s="95"/>
      <c r="H16" s="95"/>
      <c r="I16" s="95"/>
      <c r="J16" s="93"/>
      <c r="K16" s="93"/>
    </row>
    <row r="17" spans="1:11" s="84" customFormat="1" x14ac:dyDescent="0.25">
      <c r="A17" s="101" t="s">
        <v>115</v>
      </c>
      <c r="B17" s="126" t="s">
        <v>177</v>
      </c>
      <c r="C17" s="86">
        <v>1</v>
      </c>
      <c r="D17" s="111"/>
      <c r="E17" s="94"/>
      <c r="F17" s="95"/>
      <c r="G17" s="95"/>
      <c r="H17" s="95"/>
      <c r="I17" s="95"/>
      <c r="J17" s="93"/>
      <c r="K17" s="93"/>
    </row>
    <row r="18" spans="1:11" s="84" customFormat="1" ht="30.75" thickBot="1" x14ac:dyDescent="0.3">
      <c r="A18" s="101" t="s">
        <v>160</v>
      </c>
      <c r="B18" s="127" t="s">
        <v>203</v>
      </c>
      <c r="C18" s="86">
        <v>1</v>
      </c>
      <c r="D18" s="111"/>
      <c r="E18" s="94"/>
      <c r="F18" s="95"/>
      <c r="G18" s="95"/>
      <c r="H18" s="95"/>
      <c r="I18" s="95"/>
      <c r="J18" s="93"/>
      <c r="K18" s="93"/>
    </row>
    <row r="19" spans="1:11" s="84" customFormat="1" ht="19.5" thickBot="1" x14ac:dyDescent="0.3">
      <c r="A19" s="105"/>
      <c r="B19" s="128" t="s">
        <v>199</v>
      </c>
      <c r="C19" s="108">
        <f>SUM(C20:C22)</f>
        <v>3</v>
      </c>
      <c r="D19" s="109"/>
      <c r="E19" s="94"/>
      <c r="F19" s="95"/>
      <c r="G19" s="95"/>
      <c r="H19" s="95"/>
      <c r="I19" s="95"/>
      <c r="J19" s="93"/>
      <c r="K19" s="93"/>
    </row>
    <row r="20" spans="1:11" s="85" customFormat="1" ht="30" x14ac:dyDescent="0.25">
      <c r="A20" s="101" t="s">
        <v>175</v>
      </c>
      <c r="B20" s="125" t="s">
        <v>185</v>
      </c>
      <c r="C20" s="86">
        <v>1</v>
      </c>
      <c r="D20" s="102"/>
      <c r="E20" s="96"/>
      <c r="F20" s="97"/>
      <c r="G20" s="97"/>
      <c r="H20" s="97"/>
      <c r="I20" s="97"/>
      <c r="J20" s="98"/>
      <c r="K20" s="98"/>
    </row>
    <row r="21" spans="1:11" s="85" customFormat="1" ht="45" x14ac:dyDescent="0.25">
      <c r="A21" s="101" t="s">
        <v>174</v>
      </c>
      <c r="B21" s="126" t="s">
        <v>206</v>
      </c>
      <c r="C21" s="86">
        <v>1</v>
      </c>
      <c r="D21" s="102"/>
      <c r="E21" s="96"/>
      <c r="F21" s="97"/>
      <c r="G21" s="97"/>
      <c r="H21" s="97"/>
      <c r="I21" s="97"/>
      <c r="J21" s="98"/>
      <c r="K21" s="98"/>
    </row>
    <row r="22" spans="1:11" s="85" customFormat="1" ht="15.75" thickBot="1" x14ac:dyDescent="0.3">
      <c r="A22" s="101" t="s">
        <v>169</v>
      </c>
      <c r="B22" s="134" t="s">
        <v>256</v>
      </c>
      <c r="C22" s="86">
        <v>1</v>
      </c>
      <c r="D22" s="102"/>
      <c r="E22" s="96"/>
      <c r="F22" s="97"/>
      <c r="G22" s="97"/>
      <c r="H22" s="97"/>
      <c r="I22" s="97"/>
      <c r="J22" s="98"/>
      <c r="K22" s="98"/>
    </row>
    <row r="23" spans="1:11" s="85" customFormat="1" ht="19.5" thickBot="1" x14ac:dyDescent="0.3">
      <c r="A23" s="105"/>
      <c r="B23" s="128" t="s">
        <v>179</v>
      </c>
      <c r="C23" s="108">
        <f>SUM(C24:C27)</f>
        <v>4</v>
      </c>
      <c r="D23" s="109"/>
      <c r="E23" s="96"/>
      <c r="F23" s="97"/>
      <c r="G23" s="97"/>
      <c r="H23" s="97"/>
      <c r="I23" s="97"/>
      <c r="J23" s="98"/>
      <c r="K23" s="98"/>
    </row>
    <row r="24" spans="1:11" s="85" customFormat="1" ht="30" x14ac:dyDescent="0.25">
      <c r="A24" s="101" t="s">
        <v>125</v>
      </c>
      <c r="B24" s="125" t="s">
        <v>250</v>
      </c>
      <c r="C24" s="86">
        <v>1</v>
      </c>
      <c r="D24" s="102"/>
      <c r="E24" s="96"/>
      <c r="F24" s="97"/>
      <c r="G24" s="97"/>
      <c r="H24" s="97"/>
      <c r="I24" s="97"/>
      <c r="J24" s="98"/>
      <c r="K24" s="98"/>
    </row>
    <row r="25" spans="1:11" s="85" customFormat="1" ht="30" x14ac:dyDescent="0.25">
      <c r="A25" s="101" t="s">
        <v>168</v>
      </c>
      <c r="B25" s="126" t="s">
        <v>251</v>
      </c>
      <c r="C25" s="86">
        <v>1</v>
      </c>
      <c r="D25" s="102"/>
      <c r="E25" s="96"/>
      <c r="F25" s="97"/>
      <c r="G25" s="97"/>
      <c r="H25" s="97"/>
      <c r="I25" s="97"/>
      <c r="J25" s="98"/>
      <c r="K25" s="98"/>
    </row>
    <row r="26" spans="1:11" s="85" customFormat="1" ht="30" x14ac:dyDescent="0.25">
      <c r="A26" s="101" t="s">
        <v>171</v>
      </c>
      <c r="B26" s="126" t="s">
        <v>210</v>
      </c>
      <c r="C26" s="86">
        <v>1</v>
      </c>
      <c r="D26" s="102"/>
      <c r="E26" s="96"/>
      <c r="F26" s="97"/>
      <c r="G26" s="97"/>
      <c r="H26" s="97"/>
      <c r="I26" s="97"/>
      <c r="J26" s="98"/>
      <c r="K26" s="98"/>
    </row>
    <row r="27" spans="1:11" s="85" customFormat="1" ht="15.75" thickBot="1" x14ac:dyDescent="0.3">
      <c r="A27" s="101" t="s">
        <v>125</v>
      </c>
      <c r="B27" s="127" t="s">
        <v>200</v>
      </c>
      <c r="C27" s="86">
        <v>1</v>
      </c>
      <c r="D27" s="111"/>
      <c r="E27" s="96"/>
      <c r="F27" s="97"/>
      <c r="G27" s="97"/>
      <c r="H27" s="97"/>
      <c r="I27" s="97"/>
      <c r="J27" s="98"/>
      <c r="K27" s="98"/>
    </row>
    <row r="28" spans="1:11" s="85" customFormat="1" ht="19.5" thickBot="1" x14ac:dyDescent="0.3">
      <c r="A28" s="105"/>
      <c r="B28" s="128" t="s">
        <v>166</v>
      </c>
      <c r="C28" s="108">
        <f>SUM(C29:C31)</f>
        <v>3</v>
      </c>
      <c r="D28" s="109"/>
      <c r="E28" s="96"/>
      <c r="F28" s="97"/>
      <c r="G28" s="97"/>
      <c r="H28" s="97"/>
      <c r="I28" s="97"/>
      <c r="J28" s="98"/>
      <c r="K28" s="98"/>
    </row>
    <row r="29" spans="1:11" s="85" customFormat="1" x14ac:dyDescent="0.25">
      <c r="A29" s="101" t="s">
        <v>124</v>
      </c>
      <c r="B29" s="125" t="s">
        <v>207</v>
      </c>
      <c r="C29" s="86">
        <v>1</v>
      </c>
      <c r="D29" s="102"/>
      <c r="E29" s="96"/>
      <c r="F29" s="97"/>
      <c r="G29" s="97"/>
      <c r="H29" s="97"/>
      <c r="I29" s="97"/>
      <c r="J29" s="98"/>
      <c r="K29" s="98"/>
    </row>
    <row r="30" spans="1:11" s="85" customFormat="1" ht="30" x14ac:dyDescent="0.25">
      <c r="A30" s="101" t="s">
        <v>164</v>
      </c>
      <c r="B30" s="126" t="s">
        <v>201</v>
      </c>
      <c r="C30" s="86">
        <v>1</v>
      </c>
      <c r="D30" s="102"/>
      <c r="E30" s="96"/>
      <c r="F30" s="97"/>
      <c r="G30" s="97"/>
      <c r="H30" s="97"/>
      <c r="I30" s="97"/>
      <c r="J30" s="98"/>
      <c r="K30" s="98"/>
    </row>
    <row r="31" spans="1:11" s="85" customFormat="1" ht="30.75" thickBot="1" x14ac:dyDescent="0.3">
      <c r="A31" s="101" t="s">
        <v>165</v>
      </c>
      <c r="B31" s="127" t="s">
        <v>202</v>
      </c>
      <c r="C31" s="86">
        <v>1</v>
      </c>
      <c r="D31" s="102"/>
      <c r="E31" s="96"/>
      <c r="F31" s="97"/>
      <c r="G31" s="97"/>
      <c r="H31" s="97"/>
      <c r="I31" s="97"/>
      <c r="J31" s="98"/>
      <c r="K31" s="98"/>
    </row>
    <row r="32" spans="1:11" s="85" customFormat="1" ht="19.5" thickBot="1" x14ac:dyDescent="0.3">
      <c r="A32" s="105"/>
      <c r="B32" s="128" t="s">
        <v>178</v>
      </c>
      <c r="C32" s="108">
        <f>SUM(C33:C36)</f>
        <v>4</v>
      </c>
      <c r="D32" s="109"/>
      <c r="E32" s="96"/>
      <c r="F32" s="97"/>
      <c r="G32" s="97"/>
      <c r="H32" s="97"/>
      <c r="I32" s="97"/>
      <c r="J32" s="98"/>
      <c r="K32" s="98"/>
    </row>
    <row r="33" spans="1:11" s="85" customFormat="1" ht="30" x14ac:dyDescent="0.25">
      <c r="A33" s="101" t="s">
        <v>152</v>
      </c>
      <c r="B33" s="125" t="s">
        <v>211</v>
      </c>
      <c r="C33" s="86">
        <v>1</v>
      </c>
      <c r="D33" s="102"/>
      <c r="E33" s="96"/>
      <c r="F33" s="97"/>
      <c r="G33" s="97"/>
      <c r="H33" s="97"/>
      <c r="I33" s="97"/>
      <c r="J33" s="98"/>
      <c r="K33" s="98"/>
    </row>
    <row r="34" spans="1:11" s="85" customFormat="1" x14ac:dyDescent="0.25">
      <c r="A34" s="101" t="s">
        <v>163</v>
      </c>
      <c r="B34" s="126" t="s">
        <v>186</v>
      </c>
      <c r="C34" s="86">
        <v>1</v>
      </c>
      <c r="D34" s="102"/>
      <c r="E34" s="96"/>
      <c r="F34" s="97"/>
      <c r="G34" s="97"/>
      <c r="H34" s="97"/>
      <c r="I34" s="97"/>
      <c r="J34" s="98"/>
      <c r="K34" s="98"/>
    </row>
    <row r="35" spans="1:11" s="85" customFormat="1" ht="30" x14ac:dyDescent="0.25">
      <c r="A35" s="101" t="s">
        <v>172</v>
      </c>
      <c r="B35" s="126" t="s">
        <v>208</v>
      </c>
      <c r="C35" s="86">
        <v>1</v>
      </c>
      <c r="D35" s="102"/>
      <c r="E35" s="96"/>
      <c r="F35" s="97"/>
      <c r="G35" s="97"/>
      <c r="H35" s="97"/>
      <c r="I35" s="97"/>
      <c r="J35" s="98"/>
      <c r="K35" s="98"/>
    </row>
    <row r="36" spans="1:11" s="85" customFormat="1" ht="30.75" thickBot="1" x14ac:dyDescent="0.3">
      <c r="A36" s="106" t="s">
        <v>161</v>
      </c>
      <c r="B36" s="130" t="s">
        <v>209</v>
      </c>
      <c r="C36" s="107">
        <v>1</v>
      </c>
      <c r="D36" s="121"/>
      <c r="E36" s="96"/>
      <c r="F36" s="97"/>
      <c r="G36" s="97"/>
      <c r="H36" s="97"/>
      <c r="I36" s="97"/>
      <c r="J36" s="98"/>
      <c r="K36" s="98"/>
    </row>
  </sheetData>
  <mergeCells count="3">
    <mergeCell ref="A3:D3"/>
    <mergeCell ref="F4:J4"/>
    <mergeCell ref="D1:J1"/>
  </mergeCells>
  <conditionalFormatting sqref="B29:B31 B4">
    <cfRule type="cellIs" dxfId="78" priority="24" operator="equal">
      <formula>#REF!</formula>
    </cfRule>
  </conditionalFormatting>
  <conditionalFormatting sqref="A10">
    <cfRule type="cellIs" dxfId="77" priority="22" operator="equal">
      <formula>#REF!</formula>
    </cfRule>
  </conditionalFormatting>
  <conditionalFormatting sqref="B23">
    <cfRule type="cellIs" dxfId="76" priority="15" operator="equal">
      <formula>#REF!</formula>
    </cfRule>
  </conditionalFormatting>
  <conditionalFormatting sqref="B19">
    <cfRule type="cellIs" dxfId="75" priority="21" operator="equal">
      <formula>#REF!</formula>
    </cfRule>
  </conditionalFormatting>
  <conditionalFormatting sqref="B28">
    <cfRule type="cellIs" dxfId="74" priority="20" operator="equal">
      <formula>#REF!</formula>
    </cfRule>
  </conditionalFormatting>
  <conditionalFormatting sqref="B32">
    <cfRule type="cellIs" dxfId="73" priority="19" operator="equal">
      <formula>#REF!</formula>
    </cfRule>
  </conditionalFormatting>
  <conditionalFormatting sqref="B5:B9">
    <cfRule type="cellIs" dxfId="72" priority="18" operator="equal">
      <formula>#REF!</formula>
    </cfRule>
  </conditionalFormatting>
  <conditionalFormatting sqref="B11:B18">
    <cfRule type="cellIs" dxfId="71" priority="17" operator="equal">
      <formula>#REF!</formula>
    </cfRule>
  </conditionalFormatting>
  <conditionalFormatting sqref="B20:B22">
    <cfRule type="cellIs" dxfId="70" priority="16" operator="equal">
      <formula>#REF!</formula>
    </cfRule>
  </conditionalFormatting>
  <conditionalFormatting sqref="B24:B27">
    <cfRule type="cellIs" dxfId="69" priority="14" operator="equal">
      <formula>#REF!</formula>
    </cfRule>
  </conditionalFormatting>
  <conditionalFormatting sqref="B33:B36">
    <cfRule type="cellIs" dxfId="68" priority="13" operator="equal">
      <formula>#REF!</formula>
    </cfRule>
  </conditionalFormatting>
  <conditionalFormatting sqref="D4">
    <cfRule type="cellIs" dxfId="67" priority="8" operator="equal">
      <formula>#REF!</formula>
    </cfRule>
  </conditionalFormatting>
  <conditionalFormatting sqref="A4">
    <cfRule type="cellIs" dxfId="66" priority="7" operator="equal">
      <formula>#REF!</formula>
    </cfRule>
  </conditionalFormatting>
  <conditionalFormatting sqref="B10">
    <cfRule type="cellIs" dxfId="65" priority="6" operator="equal">
      <formula>#REF!</formula>
    </cfRule>
  </conditionalFormatting>
  <conditionalFormatting sqref="D10">
    <cfRule type="cellIs" dxfId="64" priority="5" operator="equal">
      <formula>#REF!</formula>
    </cfRule>
  </conditionalFormatting>
  <conditionalFormatting sqref="D19">
    <cfRule type="cellIs" dxfId="63" priority="4" operator="equal">
      <formula>#REF!</formula>
    </cfRule>
  </conditionalFormatting>
  <conditionalFormatting sqref="D23">
    <cfRule type="cellIs" dxfId="62" priority="3" operator="equal">
      <formula>#REF!</formula>
    </cfRule>
  </conditionalFormatting>
  <conditionalFormatting sqref="D28">
    <cfRule type="cellIs" dxfId="61" priority="2" operator="equal">
      <formula>#REF!</formula>
    </cfRule>
  </conditionalFormatting>
  <conditionalFormatting sqref="D32">
    <cfRule type="cellIs" dxfId="60" priority="1" operator="equal">
      <formula>#REF!</formula>
    </cfRule>
  </conditionalFormatting>
  <dataValidations count="2">
    <dataValidation type="list" allowBlank="1" showInputMessage="1" showErrorMessage="1" sqref="D5:D9 D29:D31 D33:D36 D20:D22 D24:D27 D11:D18" xr:uid="{00000000-0002-0000-0100-000000000000}">
      <formula1>$AF$4:$AF$6</formula1>
    </dataValidation>
    <dataValidation allowBlank="1" showInputMessage="1" showErrorMessage="1" prompt="Please complete" sqref="D1" xr:uid="{00000000-0002-0000-0100-000001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otón 9">
              <controlPr defaultSize="0" print="0" autoFill="0" autoPict="0" macro="[0]!CleanAssesInstrum">
                <anchor>
                  <from>
                    <xdr:col>6</xdr:col>
                    <xdr:colOff>485775</xdr:colOff>
                    <xdr:row>1</xdr:row>
                    <xdr:rowOff>161925</xdr:rowOff>
                  </from>
                  <to>
                    <xdr:col>7</xdr:col>
                    <xdr:colOff>447675</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I73"/>
  <sheetViews>
    <sheetView zoomScale="85" zoomScaleNormal="85" workbookViewId="0">
      <pane xSplit="13" ySplit="4" topLeftCell="N5" activePane="bottomRight" state="frozen"/>
      <selection pane="topRight" activeCell="G1" sqref="G1"/>
      <selection pane="bottomLeft" activeCell="A5" sqref="A5"/>
      <selection pane="bottomRight" activeCell="O11" sqref="O11"/>
    </sheetView>
  </sheetViews>
  <sheetFormatPr baseColWidth="10" defaultRowHeight="33" customHeight="1" outlineLevelRow="1" outlineLevelCol="1" x14ac:dyDescent="0.25"/>
  <cols>
    <col min="1" max="1" width="9.5703125" style="70" customWidth="1"/>
    <col min="2" max="2" width="16.28515625" style="71" hidden="1" customWidth="1"/>
    <col min="3" max="3" width="8.5703125" style="71" hidden="1" customWidth="1"/>
    <col min="4" max="4" width="54.140625" style="72" customWidth="1"/>
    <col min="5" max="5" width="10.28515625" style="72" customWidth="1"/>
    <col min="6" max="7" width="12.42578125" style="73" hidden="1" customWidth="1" outlineLevel="1"/>
    <col min="8" max="8" width="9.5703125" style="74" hidden="1" customWidth="1" outlineLevel="1"/>
    <col min="9" max="12" width="13.28515625" style="74" hidden="1" customWidth="1" outlineLevel="1"/>
    <col min="13" max="13" width="9.140625" style="74" hidden="1" customWidth="1" outlineLevel="1"/>
    <col min="14" max="14" width="18" style="67" customWidth="1" collapsed="1"/>
    <col min="15" max="15" width="24.28515625" style="67" customWidth="1"/>
    <col min="16" max="16" width="15" style="75" customWidth="1"/>
    <col min="17" max="20" width="20.28515625" style="75" hidden="1" customWidth="1"/>
    <col min="21" max="21" width="13.85546875" style="74" hidden="1" customWidth="1"/>
    <col min="22" max="22" width="10.42578125" style="74" hidden="1" customWidth="1"/>
    <col min="23" max="23" width="11" style="76" hidden="1" customWidth="1"/>
    <col min="24" max="24" width="10.7109375" style="76" hidden="1" customWidth="1"/>
    <col min="25" max="26" width="14.28515625" style="76" hidden="1" customWidth="1"/>
    <col min="27" max="27" width="16.5703125" style="76" customWidth="1"/>
    <col min="28" max="28" width="14.28515625" style="76" hidden="1" customWidth="1"/>
    <col min="29" max="29" width="15" style="77" customWidth="1"/>
    <col min="30" max="30" width="16.140625" style="78" hidden="1" customWidth="1" outlineLevel="1"/>
    <col min="31" max="31" width="18.140625" style="79" hidden="1" customWidth="1" outlineLevel="1"/>
    <col min="32" max="32" width="16.7109375" style="67" hidden="1" customWidth="1" collapsed="1"/>
    <col min="33" max="16384" width="11.42578125" style="67"/>
  </cols>
  <sheetData>
    <row r="1" spans="1:34" s="287" customFormat="1" ht="54" customHeight="1" x14ac:dyDescent="0.25">
      <c r="A1" s="282"/>
      <c r="B1" s="283"/>
      <c r="C1" s="283"/>
      <c r="D1" s="284"/>
      <c r="E1" s="284"/>
      <c r="F1" s="285"/>
      <c r="G1" s="285"/>
      <c r="H1" s="286"/>
      <c r="I1" s="286"/>
      <c r="J1" s="286"/>
      <c r="K1" s="286"/>
      <c r="L1" s="286"/>
      <c r="M1" s="286"/>
      <c r="P1" s="288"/>
      <c r="Q1" s="288"/>
      <c r="R1" s="288"/>
      <c r="S1" s="288"/>
      <c r="T1" s="288"/>
      <c r="U1" s="286"/>
      <c r="V1" s="286"/>
      <c r="W1" s="289"/>
      <c r="X1" s="289"/>
      <c r="Y1" s="289"/>
      <c r="Z1" s="289"/>
      <c r="AA1" s="289"/>
      <c r="AB1" s="289"/>
      <c r="AC1" s="290"/>
      <c r="AD1" s="291"/>
      <c r="AE1" s="292"/>
    </row>
    <row r="2" spans="1:34" ht="24" customHeight="1" x14ac:dyDescent="0.25">
      <c r="A2" s="356" t="s">
        <v>335</v>
      </c>
      <c r="B2" s="357"/>
      <c r="C2" s="357"/>
      <c r="D2" s="357"/>
      <c r="E2" s="338" t="s">
        <v>333</v>
      </c>
      <c r="F2" s="343" t="s">
        <v>334</v>
      </c>
      <c r="G2" s="343"/>
      <c r="H2" s="343"/>
      <c r="I2" s="343"/>
      <c r="J2" s="343"/>
      <c r="K2" s="343"/>
      <c r="L2" s="343"/>
      <c r="M2" s="343"/>
      <c r="N2" s="343"/>
      <c r="O2" s="343"/>
      <c r="P2" s="343"/>
      <c r="Q2" s="343"/>
      <c r="R2" s="343"/>
      <c r="S2" s="343"/>
      <c r="T2" s="343"/>
      <c r="U2" s="343"/>
      <c r="V2" s="343"/>
      <c r="W2" s="340" t="s">
        <v>38</v>
      </c>
      <c r="X2" s="340"/>
      <c r="Y2" s="340"/>
      <c r="Z2" s="340"/>
      <c r="AA2" s="340"/>
      <c r="AB2" s="340"/>
      <c r="AC2" s="340"/>
      <c r="AD2" s="340"/>
      <c r="AE2" s="341"/>
      <c r="AF2" s="57" t="s">
        <v>30</v>
      </c>
    </row>
    <row r="3" spans="1:34" ht="12" customHeight="1" x14ac:dyDescent="0.25">
      <c r="A3" s="358"/>
      <c r="B3" s="358"/>
      <c r="C3" s="358"/>
      <c r="D3" s="358"/>
      <c r="E3" s="339"/>
      <c r="F3" s="344" t="s">
        <v>12</v>
      </c>
      <c r="G3" s="344"/>
      <c r="H3" s="344"/>
      <c r="I3" s="344"/>
      <c r="J3" s="344"/>
      <c r="K3" s="344"/>
      <c r="L3" s="344"/>
      <c r="M3" s="344"/>
      <c r="N3" s="347" t="s">
        <v>358</v>
      </c>
      <c r="O3" s="347"/>
      <c r="P3" s="346" t="s">
        <v>228</v>
      </c>
      <c r="Q3" s="346"/>
      <c r="R3" s="344"/>
      <c r="S3" s="344"/>
      <c r="T3" s="344"/>
      <c r="U3" s="345"/>
      <c r="V3" s="58" t="s">
        <v>14</v>
      </c>
      <c r="W3" s="350" t="s">
        <v>47</v>
      </c>
      <c r="X3" s="66" t="s">
        <v>3</v>
      </c>
      <c r="Y3" s="66"/>
      <c r="Z3" s="229"/>
      <c r="AA3" s="342" t="s">
        <v>236</v>
      </c>
      <c r="AB3" s="342"/>
      <c r="AC3" s="342"/>
      <c r="AD3" s="59" t="s">
        <v>12</v>
      </c>
      <c r="AE3" s="218" t="s">
        <v>15</v>
      </c>
      <c r="AF3" s="80" t="s">
        <v>236</v>
      </c>
    </row>
    <row r="4" spans="1:34" ht="33" customHeight="1" x14ac:dyDescent="0.25">
      <c r="A4" s="358"/>
      <c r="B4" s="358"/>
      <c r="C4" s="358"/>
      <c r="D4" s="358"/>
      <c r="E4" s="339"/>
      <c r="F4" s="55" t="s">
        <v>405</v>
      </c>
      <c r="G4" s="55" t="s">
        <v>408</v>
      </c>
      <c r="H4" s="56" t="s">
        <v>406</v>
      </c>
      <c r="I4" s="56" t="s">
        <v>407</v>
      </c>
      <c r="J4" s="56" t="s">
        <v>409</v>
      </c>
      <c r="K4" s="56" t="s">
        <v>411</v>
      </c>
      <c r="L4" s="55" t="s">
        <v>417</v>
      </c>
      <c r="M4" s="55" t="s">
        <v>410</v>
      </c>
      <c r="N4" s="281" t="s">
        <v>403</v>
      </c>
      <c r="O4" s="280" t="s">
        <v>404</v>
      </c>
      <c r="P4" s="279" t="s">
        <v>13</v>
      </c>
      <c r="Q4" s="60" t="s">
        <v>36</v>
      </c>
      <c r="R4" s="55" t="s">
        <v>35</v>
      </c>
      <c r="S4" s="56" t="s">
        <v>226</v>
      </c>
      <c r="T4" s="56" t="s">
        <v>32</v>
      </c>
      <c r="U4" s="56" t="s">
        <v>235</v>
      </c>
      <c r="V4" s="58" t="s">
        <v>231</v>
      </c>
      <c r="W4" s="350"/>
      <c r="X4" s="132" t="s">
        <v>252</v>
      </c>
      <c r="Y4" s="155" t="s">
        <v>262</v>
      </c>
      <c r="Z4" s="155" t="s">
        <v>264</v>
      </c>
      <c r="AA4" s="135" t="s">
        <v>337</v>
      </c>
      <c r="AB4" s="131" t="s">
        <v>253</v>
      </c>
      <c r="AC4" s="135" t="s">
        <v>230</v>
      </c>
      <c r="AD4" s="135" t="s">
        <v>233</v>
      </c>
      <c r="AE4" s="218" t="s">
        <v>234</v>
      </c>
      <c r="AF4" s="61" t="s">
        <v>232</v>
      </c>
    </row>
    <row r="5" spans="1:34" ht="23.25" customHeight="1" x14ac:dyDescent="0.25">
      <c r="A5" s="354" t="str">
        <f>Data!C10</f>
        <v>Operational</v>
      </c>
      <c r="B5" s="354"/>
      <c r="C5" s="354"/>
      <c r="D5" s="354"/>
      <c r="E5" s="354"/>
      <c r="F5" s="354"/>
      <c r="G5" s="354"/>
      <c r="H5" s="354"/>
      <c r="I5" s="354"/>
      <c r="J5" s="354"/>
      <c r="K5" s="354"/>
      <c r="L5" s="354"/>
      <c r="M5" s="354"/>
      <c r="N5" s="354"/>
      <c r="O5" s="354"/>
      <c r="P5" s="354"/>
      <c r="Q5" s="354"/>
      <c r="R5" s="354"/>
      <c r="S5" s="354"/>
      <c r="T5" s="354"/>
      <c r="U5" s="354"/>
      <c r="V5" s="354"/>
      <c r="W5" s="354"/>
      <c r="X5" s="354"/>
      <c r="Y5" s="354"/>
      <c r="Z5" s="354"/>
      <c r="AA5" s="354"/>
      <c r="AB5" s="354"/>
      <c r="AC5" s="354"/>
      <c r="AD5" s="354"/>
      <c r="AE5" s="355"/>
      <c r="AF5" s="81" t="e">
        <f>SUM(AE6+#REF!+AE9+AE12+AE18+AE22+AE25+AE29+AE33+AE38)</f>
        <v>#REF!</v>
      </c>
    </row>
    <row r="6" spans="1:34" s="68" customFormat="1" ht="33" customHeight="1" x14ac:dyDescent="0.25">
      <c r="A6" s="135" t="s">
        <v>33</v>
      </c>
      <c r="B6" s="216" t="s">
        <v>260</v>
      </c>
      <c r="C6" s="50"/>
      <c r="D6" s="135" t="s">
        <v>106</v>
      </c>
      <c r="E6" s="124">
        <f>IF(AB6&gt;0,COUNTBLANK(statAnswCom),0)</f>
        <v>2</v>
      </c>
      <c r="F6" s="230"/>
      <c r="G6" s="230"/>
      <c r="H6" s="230"/>
      <c r="I6" s="230"/>
      <c r="J6" s="230"/>
      <c r="K6" s="230"/>
      <c r="L6" s="256"/>
      <c r="M6" s="230"/>
      <c r="N6" s="263"/>
      <c r="O6" s="264"/>
      <c r="P6" s="230"/>
      <c r="Q6" s="230"/>
      <c r="R6" s="230"/>
      <c r="S6" s="230"/>
      <c r="T6" s="230"/>
      <c r="U6" s="230"/>
      <c r="V6" s="230"/>
      <c r="W6" s="228">
        <v>3</v>
      </c>
      <c r="X6" s="62"/>
      <c r="Y6" s="156">
        <f>IF(X6=" ",W6,AVERAGE(W6:X6))</f>
        <v>3</v>
      </c>
      <c r="Z6" s="149">
        <f>IF(Y6&gt;=3,3,IF(Y6&gt;=2,2,IF(Y6&gt;=1,1,IF(Y6&gt;=0,0))))</f>
        <v>3</v>
      </c>
      <c r="AA6" s="63" t="str">
        <f>IF(Y6&gt;=3,Data!$A$10,IF(Y6&gt;=2,Data!$A$11,IF(Y6&gt;=1,Data!$A$12,IF(Y6&gt;=0,Data!$A$13))))</f>
        <v>Very important</v>
      </c>
      <c r="AB6" s="63">
        <f>AVERAGE(W6:X6)</f>
        <v>3</v>
      </c>
      <c r="AC6" s="64">
        <f>IFERROR(IF(AA6=Data!$A$13,Data!$A$13,AVERAGE(statComm)),"N/A")</f>
        <v>0</v>
      </c>
      <c r="AD6" s="65" t="e">
        <f>AB6/SUM(ImporOper)</f>
        <v>#REF!</v>
      </c>
      <c r="AE6" s="219" t="e">
        <f>AC6*AD6</f>
        <v>#REF!</v>
      </c>
      <c r="AF6" s="353"/>
    </row>
    <row r="7" spans="1:34" ht="33" customHeight="1" outlineLevel="1" x14ac:dyDescent="0.25">
      <c r="A7" s="53" t="s">
        <v>33</v>
      </c>
      <c r="B7" s="50" t="s">
        <v>105</v>
      </c>
      <c r="C7" s="50">
        <v>31</v>
      </c>
      <c r="D7" s="51" t="s">
        <v>359</v>
      </c>
      <c r="E7" s="123"/>
      <c r="F7" s="52">
        <v>5</v>
      </c>
      <c r="G7" s="53">
        <v>4</v>
      </c>
      <c r="H7" s="53">
        <v>3</v>
      </c>
      <c r="I7" s="53">
        <v>2</v>
      </c>
      <c r="J7" s="54">
        <v>1</v>
      </c>
      <c r="K7" s="53">
        <v>0</v>
      </c>
      <c r="L7" s="53">
        <v>0</v>
      </c>
      <c r="M7" s="266" t="s">
        <v>8</v>
      </c>
      <c r="N7" s="276"/>
      <c r="O7" s="277"/>
      <c r="P7" s="62"/>
      <c r="Q7" s="62"/>
      <c r="R7" s="53">
        <v>2</v>
      </c>
      <c r="S7" s="53">
        <f>IF(Q7=" ",R7,AVERAGE(R7,Q7))</f>
        <v>2</v>
      </c>
      <c r="T7" s="53">
        <f>S7/SUM(impSComm)</f>
        <v>0.5</v>
      </c>
      <c r="U7" s="54">
        <f>IF($P7=$F$4,5,IF($P7=$G$4,4,IF($P7=$H$4,3,IF($P7=$I$4,2,IF($P7=$J$4,1,IF($P7=$K$4,0,IF($P7=$M$4,"--",0)))))))</f>
        <v>0</v>
      </c>
      <c r="V7" s="49">
        <f>U7</f>
        <v>0</v>
      </c>
      <c r="W7" s="330"/>
      <c r="X7" s="330"/>
      <c r="Y7" s="330"/>
      <c r="Z7" s="330"/>
      <c r="AA7" s="330"/>
      <c r="AB7" s="330"/>
      <c r="AC7" s="330"/>
      <c r="AD7" s="330"/>
      <c r="AE7" s="331"/>
      <c r="AF7" s="353"/>
      <c r="AH7" s="69"/>
    </row>
    <row r="8" spans="1:34" ht="44.25" customHeight="1" outlineLevel="1" x14ac:dyDescent="0.25">
      <c r="A8" s="53" t="s">
        <v>33</v>
      </c>
      <c r="B8" s="50" t="s">
        <v>131</v>
      </c>
      <c r="C8" s="50">
        <v>32</v>
      </c>
      <c r="D8" s="51" t="s">
        <v>360</v>
      </c>
      <c r="E8" s="123"/>
      <c r="F8" s="52">
        <v>5</v>
      </c>
      <c r="G8" s="53">
        <v>4</v>
      </c>
      <c r="H8" s="53">
        <v>3</v>
      </c>
      <c r="I8" s="53">
        <v>2</v>
      </c>
      <c r="J8" s="54">
        <v>1</v>
      </c>
      <c r="K8" s="53">
        <v>0</v>
      </c>
      <c r="L8" s="53">
        <v>0</v>
      </c>
      <c r="M8" s="266" t="s">
        <v>8</v>
      </c>
      <c r="N8" s="276"/>
      <c r="O8" s="277"/>
      <c r="P8" s="62"/>
      <c r="Q8" s="62"/>
      <c r="R8" s="53">
        <v>2</v>
      </c>
      <c r="S8" s="53">
        <f>IF(Q8=" ",R8,AVERAGE(R8,Q8))</f>
        <v>2</v>
      </c>
      <c r="T8" s="53">
        <f>S8/SUM(impSComm)</f>
        <v>0.5</v>
      </c>
      <c r="U8" s="54">
        <f>IF($P8=$F$4,5,IF($P8=$G$4,4,IF($P8=$H$4,3,IF($P8=$I$4,2,IF($P8=$J$4,1,IF($P8=$K$4,0,IF($P8=$M$4,"--",0)))))))</f>
        <v>0</v>
      </c>
      <c r="V8" s="49">
        <f>U8</f>
        <v>0</v>
      </c>
      <c r="W8" s="330"/>
      <c r="X8" s="330"/>
      <c r="Y8" s="330"/>
      <c r="Z8" s="330"/>
      <c r="AA8" s="330"/>
      <c r="AB8" s="330"/>
      <c r="AC8" s="330"/>
      <c r="AD8" s="330"/>
      <c r="AE8" s="331"/>
      <c r="AF8" s="353"/>
    </row>
    <row r="9" spans="1:34" ht="33" customHeight="1" x14ac:dyDescent="0.25">
      <c r="A9" s="135" t="s">
        <v>33</v>
      </c>
      <c r="B9" s="216" t="s">
        <v>260</v>
      </c>
      <c r="C9" s="135"/>
      <c r="D9" s="135" t="s">
        <v>227</v>
      </c>
      <c r="E9" s="124">
        <f>COUNTBLANK(statAnswContr)</f>
        <v>2</v>
      </c>
      <c r="F9" s="230"/>
      <c r="G9" s="230"/>
      <c r="H9" s="230"/>
      <c r="I9" s="230"/>
      <c r="J9" s="230"/>
      <c r="K9" s="230"/>
      <c r="L9" s="256"/>
      <c r="M9" s="230"/>
      <c r="N9" s="261"/>
      <c r="O9" s="262"/>
      <c r="P9" s="230"/>
      <c r="Q9" s="230"/>
      <c r="R9" s="230"/>
      <c r="S9" s="230"/>
      <c r="T9" s="230"/>
      <c r="U9" s="230"/>
      <c r="V9" s="230"/>
      <c r="W9" s="228">
        <v>2</v>
      </c>
      <c r="X9" s="62"/>
      <c r="Y9" s="156">
        <f>IF(X9=" ",W9,AVERAGE(W9:X9))</f>
        <v>2</v>
      </c>
      <c r="Z9" s="149">
        <f>IF(Y9&gt;=3,3,IF(Y9&gt;=2,2,IF(Y9&gt;=1,1,IF(Y9&gt;=0,0))))</f>
        <v>2</v>
      </c>
      <c r="AA9" s="63" t="str">
        <f>IF(Y9&gt;=3,Data!$A$10,IF(Y9&gt;=2,Data!$A$11,IF(Y9&gt;=1,Data!$A$12,IF(Y9&gt;=0,Data!$A$13))))</f>
        <v>Important</v>
      </c>
      <c r="AB9" s="63">
        <f>AVERAGE(W9:X9)</f>
        <v>2</v>
      </c>
      <c r="AC9" s="64">
        <f>IFERROR(IF(AA9=Data!$A$13,Data!$A$13,AVERAGE(statDegree)),"N/A")</f>
        <v>0</v>
      </c>
      <c r="AD9" s="65" t="e">
        <f>AB9/SUM(ImporOper)</f>
        <v>#REF!</v>
      </c>
      <c r="AE9" s="219" t="e">
        <f>AC9*AD9</f>
        <v>#REF!</v>
      </c>
      <c r="AF9" s="353"/>
    </row>
    <row r="10" spans="1:34" ht="60" customHeight="1" outlineLevel="1" x14ac:dyDescent="0.25">
      <c r="A10" s="53" t="s">
        <v>33</v>
      </c>
      <c r="B10" s="50" t="s">
        <v>20</v>
      </c>
      <c r="C10" s="50">
        <v>7</v>
      </c>
      <c r="D10" s="51" t="s">
        <v>190</v>
      </c>
      <c r="E10" s="123"/>
      <c r="F10" s="52">
        <v>5</v>
      </c>
      <c r="G10" s="53">
        <v>4</v>
      </c>
      <c r="H10" s="53">
        <v>3</v>
      </c>
      <c r="I10" s="53">
        <v>2</v>
      </c>
      <c r="J10" s="54">
        <v>1</v>
      </c>
      <c r="K10" s="53">
        <v>0</v>
      </c>
      <c r="L10" s="53">
        <v>0</v>
      </c>
      <c r="M10" s="266" t="s">
        <v>8</v>
      </c>
      <c r="N10" s="276"/>
      <c r="O10" s="277"/>
      <c r="P10" s="62"/>
      <c r="Q10" s="62"/>
      <c r="R10" s="53">
        <v>2</v>
      </c>
      <c r="S10" s="53">
        <f t="shared" ref="S10:S17" si="0">IF(Q10=" ",R10,AVERAGE(R10,Q10))</f>
        <v>2</v>
      </c>
      <c r="T10" s="53">
        <f>S10/SUM(impSDegree)</f>
        <v>0.5</v>
      </c>
      <c r="U10" s="54">
        <f>IF($P10=$F$4,5,IF($P10=$G$4,4,IF($P10=$H$4,3,IF($P10=$I$4,2,IF($P10=$J$4,1,IF($P10=$K$4,0,IF($P10=$M$4,"--",0)))))))</f>
        <v>0</v>
      </c>
      <c r="V10" s="49">
        <f>U10</f>
        <v>0</v>
      </c>
      <c r="W10" s="330"/>
      <c r="X10" s="330"/>
      <c r="Y10" s="330"/>
      <c r="Z10" s="330"/>
      <c r="AA10" s="330"/>
      <c r="AB10" s="330"/>
      <c r="AC10" s="330"/>
      <c r="AD10" s="330"/>
      <c r="AE10" s="331"/>
      <c r="AF10" s="353"/>
    </row>
    <row r="11" spans="1:34" ht="33" customHeight="1" outlineLevel="1" x14ac:dyDescent="0.25">
      <c r="A11" s="53" t="s">
        <v>33</v>
      </c>
      <c r="B11" s="50" t="s">
        <v>21</v>
      </c>
      <c r="C11" s="50">
        <v>8</v>
      </c>
      <c r="D11" s="51" t="s">
        <v>104</v>
      </c>
      <c r="E11" s="123"/>
      <c r="F11" s="52">
        <v>5</v>
      </c>
      <c r="G11" s="53">
        <v>4</v>
      </c>
      <c r="H11" s="53">
        <v>3</v>
      </c>
      <c r="I11" s="53">
        <v>2</v>
      </c>
      <c r="J11" s="54">
        <v>1</v>
      </c>
      <c r="K11" s="53">
        <v>0</v>
      </c>
      <c r="L11" s="53">
        <v>0</v>
      </c>
      <c r="M11" s="266" t="s">
        <v>8</v>
      </c>
      <c r="N11" s="276"/>
      <c r="O11" s="277"/>
      <c r="P11" s="62"/>
      <c r="Q11" s="62"/>
      <c r="R11" s="53">
        <v>2</v>
      </c>
      <c r="S11" s="53">
        <f t="shared" si="0"/>
        <v>2</v>
      </c>
      <c r="T11" s="53">
        <f>S11/SUM(impSDegree)</f>
        <v>0.5</v>
      </c>
      <c r="U11" s="54">
        <f>IF($P11=$F$4,5,IF($P11=$G$4,4,IF($P11=$H$4,3,IF($P11=$I$4,2,IF($P11=$J$4,1,IF($P11=$K$4,0,IF($P11=$M$4,"--",0)))))))</f>
        <v>0</v>
      </c>
      <c r="V11" s="49">
        <f>U11</f>
        <v>0</v>
      </c>
      <c r="W11" s="330"/>
      <c r="X11" s="330"/>
      <c r="Y11" s="330"/>
      <c r="Z11" s="330"/>
      <c r="AA11" s="330"/>
      <c r="AB11" s="330"/>
      <c r="AC11" s="330"/>
      <c r="AD11" s="330"/>
      <c r="AE11" s="331"/>
      <c r="AF11" s="353"/>
    </row>
    <row r="12" spans="1:34" ht="33" customHeight="1" x14ac:dyDescent="0.25">
      <c r="A12" s="135" t="s">
        <v>33</v>
      </c>
      <c r="B12" s="216" t="s">
        <v>260</v>
      </c>
      <c r="C12" s="135"/>
      <c r="D12" s="135" t="s">
        <v>6</v>
      </c>
      <c r="E12" s="124">
        <f>COUNTBLANK(statAnswDomKnow)</f>
        <v>5</v>
      </c>
      <c r="F12" s="230"/>
      <c r="G12" s="230"/>
      <c r="H12" s="230"/>
      <c r="I12" s="230"/>
      <c r="J12" s="230"/>
      <c r="K12" s="230"/>
      <c r="L12" s="256"/>
      <c r="M12" s="230"/>
      <c r="N12" s="261"/>
      <c r="O12" s="262"/>
      <c r="P12" s="230"/>
      <c r="Q12" s="230"/>
      <c r="R12" s="230"/>
      <c r="S12" s="230"/>
      <c r="T12" s="230"/>
      <c r="U12" s="230"/>
      <c r="V12" s="230"/>
      <c r="W12" s="228">
        <v>3</v>
      </c>
      <c r="X12" s="62"/>
      <c r="Y12" s="156">
        <f>IF(X12=" ",W12,AVERAGE(W12:X12))</f>
        <v>3</v>
      </c>
      <c r="Z12" s="149">
        <f>IF(Y12&gt;=3,3,IF(Y12&gt;=2,2,IF(Y12&gt;=1,1,IF(Y12&gt;=0,0))))</f>
        <v>3</v>
      </c>
      <c r="AA12" s="63" t="str">
        <f>IF(Y12&gt;=3,Data!$A$10,IF(Y12&gt;=2,Data!$A$11,IF(Y12&gt;=1,Data!$A$12,IF(Y12&gt;=0,Data!$A$13))))</f>
        <v>Very important</v>
      </c>
      <c r="AB12" s="63">
        <f>AVERAGE(W12:X12)</f>
        <v>3</v>
      </c>
      <c r="AC12" s="64">
        <f>IFERROR(IF(AA12=Data!$A$13,Data!$A$13,AVERAGE(statDomain)),"N/A")</f>
        <v>0</v>
      </c>
      <c r="AD12" s="65" t="e">
        <f>AB12/SUM(ImporOper)</f>
        <v>#REF!</v>
      </c>
      <c r="AE12" s="219" t="e">
        <f>AC12*AD12</f>
        <v>#REF!</v>
      </c>
      <c r="AF12" s="353"/>
    </row>
    <row r="13" spans="1:34" ht="40.5" customHeight="1" outlineLevel="1" x14ac:dyDescent="0.25">
      <c r="A13" s="53" t="s">
        <v>33</v>
      </c>
      <c r="B13" s="50" t="s">
        <v>22</v>
      </c>
      <c r="C13" s="50">
        <v>14</v>
      </c>
      <c r="D13" s="51" t="s">
        <v>378</v>
      </c>
      <c r="E13" s="123"/>
      <c r="F13" s="52">
        <v>5</v>
      </c>
      <c r="G13" s="53">
        <v>4</v>
      </c>
      <c r="H13" s="53">
        <v>3</v>
      </c>
      <c r="I13" s="53">
        <v>2</v>
      </c>
      <c r="J13" s="54">
        <v>1</v>
      </c>
      <c r="K13" s="53">
        <v>0</v>
      </c>
      <c r="L13" s="53">
        <v>0</v>
      </c>
      <c r="M13" s="266" t="s">
        <v>8</v>
      </c>
      <c r="N13" s="276"/>
      <c r="O13" s="277"/>
      <c r="P13" s="62"/>
      <c r="Q13" s="62"/>
      <c r="R13" s="53">
        <v>2</v>
      </c>
      <c r="S13" s="53">
        <f t="shared" si="0"/>
        <v>2</v>
      </c>
      <c r="T13" s="53">
        <f t="shared" ref="T13:T17" si="1">S13/SUM(impSDomK)</f>
        <v>0.2</v>
      </c>
      <c r="U13" s="54">
        <f>IF($P13=$F$4,5,IF($P13=$G$4,4,IF($P13=$H$4,3,IF($P13=$I$4,2,IF($P13=$J$4,1,IF($P13=$K$4,0,IF($P13=$M$4,"--",0)))))))</f>
        <v>0</v>
      </c>
      <c r="V13" s="49">
        <f>U13</f>
        <v>0</v>
      </c>
      <c r="W13" s="332"/>
      <c r="X13" s="332"/>
      <c r="Y13" s="332"/>
      <c r="Z13" s="332"/>
      <c r="AA13" s="332"/>
      <c r="AB13" s="332"/>
      <c r="AC13" s="332"/>
      <c r="AD13" s="332"/>
      <c r="AE13" s="333"/>
      <c r="AF13" s="353"/>
    </row>
    <row r="14" spans="1:34" ht="33" customHeight="1" outlineLevel="1" x14ac:dyDescent="0.25">
      <c r="A14" s="53" t="s">
        <v>33</v>
      </c>
      <c r="B14" s="50" t="s">
        <v>23</v>
      </c>
      <c r="C14" s="50">
        <v>15</v>
      </c>
      <c r="D14" s="51" t="s">
        <v>379</v>
      </c>
      <c r="E14" s="123"/>
      <c r="F14" s="52">
        <v>5</v>
      </c>
      <c r="G14" s="53">
        <v>4</v>
      </c>
      <c r="H14" s="53">
        <v>3</v>
      </c>
      <c r="I14" s="53">
        <v>2</v>
      </c>
      <c r="J14" s="54">
        <v>1</v>
      </c>
      <c r="K14" s="53">
        <v>0</v>
      </c>
      <c r="L14" s="53">
        <v>0</v>
      </c>
      <c r="M14" s="266" t="s">
        <v>8</v>
      </c>
      <c r="N14" s="276"/>
      <c r="O14" s="277"/>
      <c r="P14" s="62"/>
      <c r="Q14" s="62"/>
      <c r="R14" s="53">
        <v>2</v>
      </c>
      <c r="S14" s="53">
        <f t="shared" si="0"/>
        <v>2</v>
      </c>
      <c r="T14" s="53">
        <f t="shared" si="1"/>
        <v>0.2</v>
      </c>
      <c r="U14" s="54">
        <f>IF($P14=$F$4,5,IF($P14=$G$4,4,IF($P14=$H$4,3,IF($P14=$I$4,2,IF($P14=$J$4,1,IF($P14=$K$4,0,IF($P14=$M$4,"--",0)))))))</f>
        <v>0</v>
      </c>
      <c r="V14" s="49">
        <f>U14</f>
        <v>0</v>
      </c>
      <c r="W14" s="332"/>
      <c r="X14" s="332"/>
      <c r="Y14" s="332"/>
      <c r="Z14" s="332"/>
      <c r="AA14" s="332"/>
      <c r="AB14" s="332"/>
      <c r="AC14" s="332"/>
      <c r="AD14" s="332"/>
      <c r="AE14" s="333"/>
      <c r="AF14" s="353"/>
    </row>
    <row r="15" spans="1:34" ht="33" customHeight="1" outlineLevel="1" x14ac:dyDescent="0.25">
      <c r="A15" s="53" t="s">
        <v>33</v>
      </c>
      <c r="B15" s="50" t="s">
        <v>24</v>
      </c>
      <c r="C15" s="50">
        <v>16</v>
      </c>
      <c r="D15" s="51" t="s">
        <v>380</v>
      </c>
      <c r="E15" s="123"/>
      <c r="F15" s="52">
        <v>5</v>
      </c>
      <c r="G15" s="53">
        <v>4</v>
      </c>
      <c r="H15" s="53">
        <v>3</v>
      </c>
      <c r="I15" s="53">
        <v>2</v>
      </c>
      <c r="J15" s="54">
        <v>1</v>
      </c>
      <c r="K15" s="53">
        <v>0</v>
      </c>
      <c r="L15" s="53">
        <v>0</v>
      </c>
      <c r="M15" s="266" t="s">
        <v>8</v>
      </c>
      <c r="N15" s="276"/>
      <c r="O15" s="277"/>
      <c r="P15" s="62"/>
      <c r="Q15" s="62"/>
      <c r="R15" s="53">
        <v>2</v>
      </c>
      <c r="S15" s="53">
        <f t="shared" si="0"/>
        <v>2</v>
      </c>
      <c r="T15" s="53">
        <f t="shared" si="1"/>
        <v>0.2</v>
      </c>
      <c r="U15" s="54">
        <f>IF($P15=$F$4,5,IF($P15=$G$4,4,IF($P15=$H$4,3,IF($P15=$I$4,2,IF($P15=$J$4,1,IF($P15=$K$4,0,IF($P15=$M$4,"--",0)))))))</f>
        <v>0</v>
      </c>
      <c r="V15" s="49">
        <f>U15</f>
        <v>0</v>
      </c>
      <c r="W15" s="332"/>
      <c r="X15" s="332"/>
      <c r="Y15" s="332"/>
      <c r="Z15" s="332"/>
      <c r="AA15" s="332"/>
      <c r="AB15" s="332"/>
      <c r="AC15" s="332"/>
      <c r="AD15" s="332"/>
      <c r="AE15" s="333"/>
      <c r="AF15" s="353"/>
    </row>
    <row r="16" spans="1:34" ht="33" customHeight="1" outlineLevel="1" x14ac:dyDescent="0.25">
      <c r="A16" s="53" t="s">
        <v>33</v>
      </c>
      <c r="B16" s="50" t="s">
        <v>132</v>
      </c>
      <c r="C16" s="50">
        <v>18</v>
      </c>
      <c r="D16" s="51" t="s">
        <v>381</v>
      </c>
      <c r="E16" s="123"/>
      <c r="F16" s="52">
        <v>5</v>
      </c>
      <c r="G16" s="53">
        <v>4</v>
      </c>
      <c r="H16" s="53">
        <v>3</v>
      </c>
      <c r="I16" s="53">
        <v>2</v>
      </c>
      <c r="J16" s="54">
        <v>1</v>
      </c>
      <c r="K16" s="53">
        <v>0</v>
      </c>
      <c r="L16" s="53">
        <v>0</v>
      </c>
      <c r="M16" s="266" t="s">
        <v>8</v>
      </c>
      <c r="N16" s="276"/>
      <c r="O16" s="277"/>
      <c r="P16" s="62"/>
      <c r="Q16" s="62"/>
      <c r="R16" s="53">
        <v>2</v>
      </c>
      <c r="S16" s="53">
        <f t="shared" si="0"/>
        <v>2</v>
      </c>
      <c r="T16" s="53">
        <f t="shared" si="1"/>
        <v>0.2</v>
      </c>
      <c r="U16" s="54">
        <f>IF($P16=$F$4,5,IF($P16=$G$4,4,IF($P16=$H$4,3,IF($P16=$I$4,2,IF($P16=$J$4,1,IF($P16=$K$4,0,IF($P16=$M$4,"--",0)))))))</f>
        <v>0</v>
      </c>
      <c r="V16" s="49">
        <f>U16</f>
        <v>0</v>
      </c>
      <c r="W16" s="332"/>
      <c r="X16" s="332"/>
      <c r="Y16" s="332"/>
      <c r="Z16" s="332"/>
      <c r="AA16" s="332"/>
      <c r="AB16" s="332"/>
      <c r="AC16" s="332"/>
      <c r="AD16" s="332"/>
      <c r="AE16" s="333"/>
      <c r="AF16" s="353"/>
    </row>
    <row r="17" spans="1:34" ht="33" customHeight="1" outlineLevel="1" x14ac:dyDescent="0.25">
      <c r="A17" s="53" t="s">
        <v>33</v>
      </c>
      <c r="B17" s="50" t="s">
        <v>135</v>
      </c>
      <c r="C17" s="50">
        <v>19</v>
      </c>
      <c r="D17" s="51" t="s">
        <v>361</v>
      </c>
      <c r="E17" s="123"/>
      <c r="F17" s="52">
        <v>5</v>
      </c>
      <c r="G17" s="53">
        <v>4</v>
      </c>
      <c r="H17" s="53">
        <v>3</v>
      </c>
      <c r="I17" s="53">
        <v>2</v>
      </c>
      <c r="J17" s="54">
        <v>1</v>
      </c>
      <c r="K17" s="53">
        <v>0</v>
      </c>
      <c r="L17" s="53">
        <v>0</v>
      </c>
      <c r="M17" s="266" t="s">
        <v>8</v>
      </c>
      <c r="N17" s="276"/>
      <c r="O17" s="277"/>
      <c r="P17" s="62"/>
      <c r="Q17" s="62"/>
      <c r="R17" s="53">
        <v>2</v>
      </c>
      <c r="S17" s="53">
        <f t="shared" si="0"/>
        <v>2</v>
      </c>
      <c r="T17" s="53">
        <f t="shared" si="1"/>
        <v>0.2</v>
      </c>
      <c r="U17" s="54">
        <f>IF($P17=$F$4,5,IF($P17=$G$4,4,IF($P17=$H$4,3,IF($P17=$I$4,2,IF($P17=$J$4,1,IF($P17=$K$4,0,IF($P17=$M$4,"--",0)))))))</f>
        <v>0</v>
      </c>
      <c r="V17" s="49">
        <f>U17</f>
        <v>0</v>
      </c>
      <c r="W17" s="332"/>
      <c r="X17" s="332"/>
      <c r="Y17" s="332"/>
      <c r="Z17" s="332"/>
      <c r="AA17" s="332"/>
      <c r="AB17" s="332"/>
      <c r="AC17" s="332"/>
      <c r="AD17" s="332"/>
      <c r="AE17" s="333"/>
      <c r="AF17" s="353"/>
    </row>
    <row r="18" spans="1:34" ht="33" customHeight="1" x14ac:dyDescent="0.25">
      <c r="A18" s="135" t="s">
        <v>34</v>
      </c>
      <c r="B18" s="216" t="s">
        <v>260</v>
      </c>
      <c r="C18" s="135"/>
      <c r="D18" s="135" t="s">
        <v>126</v>
      </c>
      <c r="E18" s="124">
        <f>COUNTBLANK(statAnswMarkPot)</f>
        <v>3</v>
      </c>
      <c r="F18" s="230"/>
      <c r="G18" s="230"/>
      <c r="H18" s="230"/>
      <c r="I18" s="230"/>
      <c r="J18" s="230"/>
      <c r="K18" s="230"/>
      <c r="L18" s="256"/>
      <c r="M18" s="230"/>
      <c r="N18" s="261"/>
      <c r="O18" s="262"/>
      <c r="P18" s="329"/>
      <c r="Q18" s="329"/>
      <c r="R18" s="329"/>
      <c r="S18" s="329"/>
      <c r="T18" s="329"/>
      <c r="U18" s="329"/>
      <c r="V18" s="329"/>
      <c r="W18" s="228">
        <v>3</v>
      </c>
      <c r="X18" s="62"/>
      <c r="Y18" s="156">
        <f>IF(X18=" ",W18,AVERAGE(W18:X18))</f>
        <v>3</v>
      </c>
      <c r="Z18" s="149">
        <f>IF(Y18&gt;=3,3,IF(Y18&gt;=2,2,IF(Y18&gt;=1,1,IF(Y18&gt;=0,0))))</f>
        <v>3</v>
      </c>
      <c r="AA18" s="63" t="str">
        <f>IF(Y18&gt;=3,Data!$A$10,IF(Y18&gt;=2,Data!$A$11,IF(Y18&gt;=1,Data!$A$12,IF(Y18&gt;=0,Data!$A$13))))</f>
        <v>Very important</v>
      </c>
      <c r="AB18" s="63">
        <f>AVERAGE(W18:X18)</f>
        <v>3</v>
      </c>
      <c r="AC18" s="64">
        <f>IFERROR(IF(AA18=Data!$A$13,Data!$A$13,AVERAGE(statMark)),"N/A")</f>
        <v>0</v>
      </c>
      <c r="AD18" s="65" t="e">
        <f>AB18/SUM(ImporOper)</f>
        <v>#REF!</v>
      </c>
      <c r="AE18" s="219" t="e">
        <f>AC18*AD18</f>
        <v>#REF!</v>
      </c>
      <c r="AF18" s="353"/>
    </row>
    <row r="19" spans="1:34" ht="33" customHeight="1" outlineLevel="1" x14ac:dyDescent="0.25">
      <c r="A19" s="53" t="s">
        <v>34</v>
      </c>
      <c r="B19" s="50" t="s">
        <v>17</v>
      </c>
      <c r="C19" s="50">
        <v>1</v>
      </c>
      <c r="D19" s="51" t="s">
        <v>345</v>
      </c>
      <c r="E19" s="123"/>
      <c r="F19" s="52">
        <v>5</v>
      </c>
      <c r="G19" s="53">
        <v>4</v>
      </c>
      <c r="H19" s="53">
        <v>3</v>
      </c>
      <c r="I19" s="53">
        <v>2</v>
      </c>
      <c r="J19" s="54">
        <v>1</v>
      </c>
      <c r="K19" s="53">
        <v>0</v>
      </c>
      <c r="L19" s="53">
        <v>0</v>
      </c>
      <c r="M19" s="266" t="s">
        <v>8</v>
      </c>
      <c r="N19" s="276"/>
      <c r="O19" s="277"/>
      <c r="P19" s="62"/>
      <c r="Q19" s="62"/>
      <c r="R19" s="53">
        <v>2</v>
      </c>
      <c r="S19" s="53">
        <f t="shared" ref="S19:S21" si="2">IF(Q19=" ",R19,AVERAGE(R19,Q19))</f>
        <v>2</v>
      </c>
      <c r="T19" s="53">
        <f t="shared" ref="T19:T21" si="3">S19/SUM(impSMarket)</f>
        <v>0.33333333333333331</v>
      </c>
      <c r="U19" s="54">
        <f>IF($P19=$F$4,5,IF($P19=$G$4,4,IF($P19=$H$4,3,IF($P19=$I$4,2,IF($P19=$J$4,1,IF($P19=$K$4,0,IF($P19=$M$4,"--",0)))))))</f>
        <v>0</v>
      </c>
      <c r="V19" s="49">
        <f>U19</f>
        <v>0</v>
      </c>
      <c r="W19" s="334"/>
      <c r="X19" s="334"/>
      <c r="Y19" s="334"/>
      <c r="Z19" s="334"/>
      <c r="AA19" s="334"/>
      <c r="AB19" s="334"/>
      <c r="AC19" s="334"/>
      <c r="AD19" s="334"/>
      <c r="AE19" s="335"/>
      <c r="AF19" s="353"/>
    </row>
    <row r="20" spans="1:34" ht="33" customHeight="1" outlineLevel="1" x14ac:dyDescent="0.25">
      <c r="A20" s="53" t="s">
        <v>34</v>
      </c>
      <c r="B20" s="50" t="s">
        <v>16</v>
      </c>
      <c r="C20" s="50">
        <v>2</v>
      </c>
      <c r="D20" s="51" t="s">
        <v>189</v>
      </c>
      <c r="E20" s="123"/>
      <c r="F20" s="52">
        <v>5</v>
      </c>
      <c r="G20" s="53">
        <v>4</v>
      </c>
      <c r="H20" s="53">
        <v>3</v>
      </c>
      <c r="I20" s="53">
        <v>2</v>
      </c>
      <c r="J20" s="54">
        <v>1</v>
      </c>
      <c r="K20" s="53">
        <v>0</v>
      </c>
      <c r="L20" s="53">
        <v>0</v>
      </c>
      <c r="M20" s="266" t="s">
        <v>8</v>
      </c>
      <c r="N20" s="276"/>
      <c r="O20" s="277"/>
      <c r="P20" s="62"/>
      <c r="Q20" s="62"/>
      <c r="R20" s="53">
        <v>2</v>
      </c>
      <c r="S20" s="53">
        <f t="shared" si="2"/>
        <v>2</v>
      </c>
      <c r="T20" s="53">
        <f t="shared" si="3"/>
        <v>0.33333333333333331</v>
      </c>
      <c r="U20" s="54">
        <f>IF($P20=$F$4,5,IF($P20=$G$4,4,IF($P20=$H$4,3,IF($P20=$I$4,2,IF($P20=$J$4,1,IF($P20=$K$4,0,IF($P20=$M$4,"--",0)))))))</f>
        <v>0</v>
      </c>
      <c r="V20" s="49">
        <f>U20</f>
        <v>0</v>
      </c>
      <c r="W20" s="334"/>
      <c r="X20" s="334"/>
      <c r="Y20" s="334"/>
      <c r="Z20" s="334"/>
      <c r="AA20" s="334"/>
      <c r="AB20" s="334"/>
      <c r="AC20" s="334"/>
      <c r="AD20" s="334"/>
      <c r="AE20" s="335"/>
      <c r="AF20" s="353"/>
    </row>
    <row r="21" spans="1:34" ht="33" customHeight="1" outlineLevel="1" x14ac:dyDescent="0.25">
      <c r="A21" s="53" t="s">
        <v>34</v>
      </c>
      <c r="B21" s="50" t="s">
        <v>29</v>
      </c>
      <c r="C21" s="50">
        <v>6</v>
      </c>
      <c r="D21" s="51" t="s">
        <v>362</v>
      </c>
      <c r="E21" s="123"/>
      <c r="F21" s="52">
        <v>5</v>
      </c>
      <c r="G21" s="53">
        <v>4</v>
      </c>
      <c r="H21" s="53">
        <v>3</v>
      </c>
      <c r="I21" s="53">
        <v>2</v>
      </c>
      <c r="J21" s="54">
        <v>1</v>
      </c>
      <c r="K21" s="53">
        <v>0</v>
      </c>
      <c r="L21" s="53">
        <v>0</v>
      </c>
      <c r="M21" s="266" t="s">
        <v>8</v>
      </c>
      <c r="N21" s="276"/>
      <c r="O21" s="277"/>
      <c r="P21" s="62"/>
      <c r="Q21" s="62"/>
      <c r="R21" s="53">
        <v>2</v>
      </c>
      <c r="S21" s="53">
        <f t="shared" si="2"/>
        <v>2</v>
      </c>
      <c r="T21" s="53">
        <f t="shared" si="3"/>
        <v>0.33333333333333331</v>
      </c>
      <c r="U21" s="54">
        <f>IF($P21=$F$4,5,IF($P21=$G$4,4,IF($P21=$H$4,3,IF($P21=$I$4,2,IF($P21=$J$4,1,IF($P21=$K$4,0,IF($P21=$M$4,"--",0)))))))</f>
        <v>0</v>
      </c>
      <c r="V21" s="49">
        <f>U21</f>
        <v>0</v>
      </c>
      <c r="W21" s="334"/>
      <c r="X21" s="334"/>
      <c r="Y21" s="334"/>
      <c r="Z21" s="334"/>
      <c r="AA21" s="334"/>
      <c r="AB21" s="334"/>
      <c r="AC21" s="334"/>
      <c r="AD21" s="334"/>
      <c r="AE21" s="335"/>
      <c r="AF21" s="353"/>
    </row>
    <row r="22" spans="1:34" ht="33" customHeight="1" x14ac:dyDescent="0.25">
      <c r="A22" s="135" t="s">
        <v>33</v>
      </c>
      <c r="B22" s="216" t="s">
        <v>260</v>
      </c>
      <c r="C22" s="135"/>
      <c r="D22" s="135" t="s">
        <v>339</v>
      </c>
      <c r="E22" s="124">
        <f>COUNTBLANK(statAnswOpen)</f>
        <v>2</v>
      </c>
      <c r="F22" s="230"/>
      <c r="G22" s="230"/>
      <c r="H22" s="230"/>
      <c r="I22" s="230"/>
      <c r="J22" s="230"/>
      <c r="K22" s="230"/>
      <c r="L22" s="256"/>
      <c r="M22" s="230"/>
      <c r="N22" s="261"/>
      <c r="O22" s="262"/>
      <c r="P22" s="329"/>
      <c r="Q22" s="329"/>
      <c r="R22" s="329"/>
      <c r="S22" s="329"/>
      <c r="T22" s="329"/>
      <c r="U22" s="329"/>
      <c r="V22" s="329"/>
      <c r="W22" s="228">
        <v>3</v>
      </c>
      <c r="X22" s="62"/>
      <c r="Y22" s="156">
        <f>IF(X22=" ",W22,AVERAGE(W22:X22))</f>
        <v>3</v>
      </c>
      <c r="Z22" s="149">
        <f>IF(Y22&gt;=3,3,IF(Y22&gt;=2,2,IF(Y22&gt;=1,1,IF(Y22&gt;=0,0))))</f>
        <v>3</v>
      </c>
      <c r="AA22" s="63" t="str">
        <f>IF(Y22&gt;=3,Data!$A$10,IF(Y22&gt;=2,Data!$A$11,IF(Y22&gt;=1,Data!$A$12,IF(Y22&gt;=0,Data!$A$13))))</f>
        <v>Very important</v>
      </c>
      <c r="AB22" s="63">
        <f>AVERAGE(W22:X22)</f>
        <v>3</v>
      </c>
      <c r="AC22" s="64">
        <f>IFERROR(IF(AA22=Data!$A$13,Data!$A$13,AVERAGE(statOpen)),"N/A")</f>
        <v>0</v>
      </c>
      <c r="AD22" s="65" t="e">
        <f>AB22/SUM(ImporOper)</f>
        <v>#REF!</v>
      </c>
      <c r="AE22" s="219" t="e">
        <f>AC22*AD22</f>
        <v>#REF!</v>
      </c>
      <c r="AF22" s="353"/>
    </row>
    <row r="23" spans="1:34" ht="33" customHeight="1" outlineLevel="1" x14ac:dyDescent="0.25">
      <c r="A23" s="53" t="s">
        <v>33</v>
      </c>
      <c r="B23" s="50" t="s">
        <v>155</v>
      </c>
      <c r="C23" s="50">
        <v>24</v>
      </c>
      <c r="D23" s="51" t="s">
        <v>346</v>
      </c>
      <c r="E23" s="123"/>
      <c r="F23" s="52">
        <v>5</v>
      </c>
      <c r="G23" s="53">
        <v>4</v>
      </c>
      <c r="H23" s="53">
        <v>3</v>
      </c>
      <c r="I23" s="53">
        <v>2</v>
      </c>
      <c r="J23" s="54">
        <v>1</v>
      </c>
      <c r="K23" s="53">
        <v>0</v>
      </c>
      <c r="L23" s="53">
        <v>0</v>
      </c>
      <c r="M23" s="266" t="s">
        <v>8</v>
      </c>
      <c r="N23" s="276"/>
      <c r="O23" s="277"/>
      <c r="P23" s="62"/>
      <c r="Q23" s="62"/>
      <c r="R23" s="53">
        <v>2</v>
      </c>
      <c r="S23" s="53">
        <f>IF(Q23=" ",R23,AVERAGE(R23,Q23))</f>
        <v>2</v>
      </c>
      <c r="T23" s="53">
        <f>S23/SUM(impSOpen)</f>
        <v>0.5</v>
      </c>
      <c r="U23" s="54">
        <f>IF($P23=$F$4,5,IF($P23=$G$4,4,IF($P23=$H$4,3,IF($P23=$I$4,2,IF($P23=$J$4,1,IF($P23=$K$4,0,IF($P23=$M$4,"--",0)))))))</f>
        <v>0</v>
      </c>
      <c r="V23" s="49">
        <f>U23</f>
        <v>0</v>
      </c>
      <c r="W23" s="336"/>
      <c r="X23" s="336"/>
      <c r="Y23" s="336"/>
      <c r="Z23" s="336"/>
      <c r="AA23" s="336"/>
      <c r="AB23" s="336"/>
      <c r="AC23" s="336"/>
      <c r="AD23" s="336"/>
      <c r="AE23" s="337"/>
      <c r="AF23" s="353"/>
    </row>
    <row r="24" spans="1:34" ht="33" customHeight="1" outlineLevel="1" x14ac:dyDescent="0.25">
      <c r="A24" s="53" t="s">
        <v>33</v>
      </c>
      <c r="B24" s="50" t="s">
        <v>156</v>
      </c>
      <c r="C24" s="50">
        <v>25</v>
      </c>
      <c r="D24" s="51" t="s">
        <v>363</v>
      </c>
      <c r="E24" s="123"/>
      <c r="F24" s="52">
        <v>5</v>
      </c>
      <c r="G24" s="53">
        <v>4</v>
      </c>
      <c r="H24" s="53">
        <v>3</v>
      </c>
      <c r="I24" s="53">
        <v>2</v>
      </c>
      <c r="J24" s="54">
        <v>1</v>
      </c>
      <c r="K24" s="53">
        <v>0</v>
      </c>
      <c r="L24" s="53">
        <v>0</v>
      </c>
      <c r="M24" s="266" t="s">
        <v>8</v>
      </c>
      <c r="N24" s="276"/>
      <c r="O24" s="277"/>
      <c r="P24" s="62"/>
      <c r="Q24" s="62"/>
      <c r="R24" s="53">
        <v>2</v>
      </c>
      <c r="S24" s="53">
        <f>IF(Q24=" ",R24,AVERAGE(R24,Q24))</f>
        <v>2</v>
      </c>
      <c r="T24" s="53">
        <f>S24/SUM(impSOpen)</f>
        <v>0.5</v>
      </c>
      <c r="U24" s="54">
        <f>IF($P24=$F$4,5,IF($P24=$G$4,4,IF($P24=$H$4,3,IF($P24=$I$4,2,IF($P24=$J$4,1,IF($P24=$K$4,0,IF($P24=$M$4,"--",0)))))))</f>
        <v>0</v>
      </c>
      <c r="V24" s="49">
        <f>U24</f>
        <v>0</v>
      </c>
      <c r="W24" s="336"/>
      <c r="X24" s="336"/>
      <c r="Y24" s="336"/>
      <c r="Z24" s="336"/>
      <c r="AA24" s="336"/>
      <c r="AB24" s="336"/>
      <c r="AC24" s="336"/>
      <c r="AD24" s="336"/>
      <c r="AE24" s="337"/>
      <c r="AF24" s="353"/>
    </row>
    <row r="25" spans="1:34" ht="33" customHeight="1" x14ac:dyDescent="0.25">
      <c r="A25" s="135" t="s">
        <v>33</v>
      </c>
      <c r="B25" s="216" t="s">
        <v>260</v>
      </c>
      <c r="C25" s="135"/>
      <c r="D25" s="135" t="s">
        <v>356</v>
      </c>
      <c r="E25" s="124">
        <f>COUNTBLANK(statAnswOrgPrep)</f>
        <v>3</v>
      </c>
      <c r="F25" s="230"/>
      <c r="G25" s="230"/>
      <c r="H25" s="230"/>
      <c r="I25" s="230"/>
      <c r="J25" s="230"/>
      <c r="K25" s="230"/>
      <c r="L25" s="256"/>
      <c r="M25" s="230"/>
      <c r="N25" s="261"/>
      <c r="O25" s="262"/>
      <c r="P25" s="329"/>
      <c r="Q25" s="329"/>
      <c r="R25" s="329"/>
      <c r="S25" s="329"/>
      <c r="T25" s="329"/>
      <c r="U25" s="329"/>
      <c r="V25" s="329"/>
      <c r="W25" s="228">
        <v>3</v>
      </c>
      <c r="X25" s="62"/>
      <c r="Y25" s="156">
        <f>IF(X25=" ",W25,AVERAGE(W25:X25))</f>
        <v>3</v>
      </c>
      <c r="Z25" s="149">
        <f>IF(Y25&gt;=3,3,IF(Y25&gt;=2,2,IF(Y25&gt;=1,1,IF(Y25&gt;=0,0))))</f>
        <v>3</v>
      </c>
      <c r="AA25" s="63" t="str">
        <f>IF(Y25&gt;=3,Data!$A$10,IF(Y25&gt;=2,Data!$A$11,IF(Y25&gt;=1,Data!$A$12,IF(Y25&gt;=0,Data!$A$13))))</f>
        <v>Very important</v>
      </c>
      <c r="AB25" s="63">
        <f>AVERAGE(W25:X25)</f>
        <v>3</v>
      </c>
      <c r="AC25" s="64">
        <f>IFERROR(IF(AA25=Data!$A$13,Data!$A$13,AVERAGE(statOrganiz)),"N/A")</f>
        <v>0</v>
      </c>
      <c r="AD25" s="65" t="e">
        <f>AB25/SUM(ImporOper)</f>
        <v>#REF!</v>
      </c>
      <c r="AE25" s="219" t="e">
        <f>AC25*AD25</f>
        <v>#REF!</v>
      </c>
      <c r="AF25" s="353"/>
      <c r="AH25" s="349"/>
    </row>
    <row r="26" spans="1:34" ht="33" customHeight="1" outlineLevel="1" x14ac:dyDescent="0.25">
      <c r="A26" s="53" t="s">
        <v>33</v>
      </c>
      <c r="B26" s="50" t="s">
        <v>157</v>
      </c>
      <c r="C26" s="50">
        <v>28</v>
      </c>
      <c r="D26" s="51" t="s">
        <v>364</v>
      </c>
      <c r="E26" s="123"/>
      <c r="F26" s="52">
        <v>5</v>
      </c>
      <c r="G26" s="53">
        <v>4</v>
      </c>
      <c r="H26" s="53">
        <v>3</v>
      </c>
      <c r="I26" s="53">
        <v>2</v>
      </c>
      <c r="J26" s="54">
        <v>1</v>
      </c>
      <c r="K26" s="53">
        <v>0</v>
      </c>
      <c r="L26" s="53">
        <v>0</v>
      </c>
      <c r="M26" s="266" t="s">
        <v>8</v>
      </c>
      <c r="N26" s="276"/>
      <c r="O26" s="277"/>
      <c r="P26" s="62"/>
      <c r="Q26" s="62"/>
      <c r="R26" s="53">
        <v>2</v>
      </c>
      <c r="S26" s="53">
        <f>IF(Q26=" ",R26,AVERAGE(R26,Q26))</f>
        <v>2</v>
      </c>
      <c r="T26" s="53">
        <f>S26/SUM(impSOrgan)</f>
        <v>0.33333333333333331</v>
      </c>
      <c r="U26" s="54">
        <f>IF($P26=$F$4,5,IF($P26=$G$4,4,IF($P26=$H$4,3,IF($P26=$I$4,2,IF($P26=$J$4,1,IF($P26=$K$4,0,IF($P26=$M$4,"--",0)))))))</f>
        <v>0</v>
      </c>
      <c r="V26" s="49">
        <f>U26</f>
        <v>0</v>
      </c>
      <c r="W26" s="334"/>
      <c r="X26" s="334"/>
      <c r="Y26" s="334"/>
      <c r="Z26" s="334"/>
      <c r="AA26" s="334"/>
      <c r="AB26" s="334"/>
      <c r="AC26" s="334"/>
      <c r="AD26" s="334"/>
      <c r="AE26" s="335"/>
      <c r="AF26" s="353"/>
      <c r="AH26" s="349"/>
    </row>
    <row r="27" spans="1:34" ht="33" customHeight="1" outlineLevel="1" x14ac:dyDescent="0.25">
      <c r="A27" s="53" t="s">
        <v>33</v>
      </c>
      <c r="B27" s="50" t="s">
        <v>158</v>
      </c>
      <c r="C27" s="50">
        <v>29</v>
      </c>
      <c r="D27" s="51" t="s">
        <v>191</v>
      </c>
      <c r="E27" s="123"/>
      <c r="F27" s="52">
        <v>5</v>
      </c>
      <c r="G27" s="53">
        <v>4</v>
      </c>
      <c r="H27" s="53">
        <v>3</v>
      </c>
      <c r="I27" s="53">
        <v>2</v>
      </c>
      <c r="J27" s="54">
        <v>1</v>
      </c>
      <c r="K27" s="53">
        <v>0</v>
      </c>
      <c r="L27" s="53">
        <v>0</v>
      </c>
      <c r="M27" s="266" t="s">
        <v>8</v>
      </c>
      <c r="N27" s="276"/>
      <c r="O27" s="277"/>
      <c r="P27" s="62"/>
      <c r="Q27" s="62"/>
      <c r="R27" s="53">
        <v>2</v>
      </c>
      <c r="S27" s="53">
        <f>IF(Q27=" ",R27,AVERAGE(R27,Q27))</f>
        <v>2</v>
      </c>
      <c r="T27" s="53">
        <f>S27/SUM(impSOrgan)</f>
        <v>0.33333333333333331</v>
      </c>
      <c r="U27" s="54">
        <f>IF($P27=$F$4,5,IF($P27=$G$4,4,IF($P27=$H$4,3,IF($P27=$I$4,2,IF($P27=$J$4,1,IF($P27=$K$4,0,IF($P27=$M$4,"--",0)))))))</f>
        <v>0</v>
      </c>
      <c r="V27" s="49">
        <f>U27</f>
        <v>0</v>
      </c>
      <c r="W27" s="334"/>
      <c r="X27" s="334"/>
      <c r="Y27" s="334"/>
      <c r="Z27" s="334"/>
      <c r="AA27" s="334"/>
      <c r="AB27" s="334"/>
      <c r="AC27" s="334"/>
      <c r="AD27" s="334"/>
      <c r="AE27" s="335"/>
      <c r="AF27" s="353"/>
      <c r="AH27" s="349"/>
    </row>
    <row r="28" spans="1:34" ht="33" customHeight="1" outlineLevel="1" x14ac:dyDescent="0.25">
      <c r="A28" s="53" t="s">
        <v>33</v>
      </c>
      <c r="B28" s="50" t="s">
        <v>162</v>
      </c>
      <c r="C28" s="50">
        <v>27</v>
      </c>
      <c r="D28" s="51" t="s">
        <v>382</v>
      </c>
      <c r="E28" s="123"/>
      <c r="F28" s="52">
        <v>5</v>
      </c>
      <c r="G28" s="53">
        <v>4</v>
      </c>
      <c r="H28" s="53">
        <v>3</v>
      </c>
      <c r="I28" s="53">
        <v>2</v>
      </c>
      <c r="J28" s="54">
        <v>1</v>
      </c>
      <c r="K28" s="53">
        <v>0</v>
      </c>
      <c r="L28" s="53">
        <v>0</v>
      </c>
      <c r="M28" s="266" t="s">
        <v>8</v>
      </c>
      <c r="N28" s="276"/>
      <c r="O28" s="277"/>
      <c r="P28" s="62"/>
      <c r="Q28" s="62"/>
      <c r="R28" s="53">
        <v>2</v>
      </c>
      <c r="S28" s="53">
        <f>IF(Q28=" ",R28,AVERAGE(R28,Q28))</f>
        <v>2</v>
      </c>
      <c r="T28" s="53">
        <f>S28/SUM(impSOrgan)</f>
        <v>0.33333333333333331</v>
      </c>
      <c r="U28" s="54">
        <f>IF($P28=$F$4,5,IF($P28=$G$4,4,IF($P28=$H$4,3,IF($P28=$I$4,2,IF($P28=$J$4,1,IF($P28=$K$4,0,IF($P28=$M$4,"--",0)))))))</f>
        <v>0</v>
      </c>
      <c r="V28" s="49">
        <f>U28</f>
        <v>0</v>
      </c>
      <c r="W28" s="334"/>
      <c r="X28" s="334"/>
      <c r="Y28" s="334"/>
      <c r="Z28" s="334"/>
      <c r="AA28" s="334"/>
      <c r="AB28" s="334"/>
      <c r="AC28" s="334"/>
      <c r="AD28" s="334"/>
      <c r="AE28" s="335"/>
      <c r="AF28" s="353"/>
      <c r="AH28" s="349"/>
    </row>
    <row r="29" spans="1:34" ht="33" customHeight="1" x14ac:dyDescent="0.25">
      <c r="A29" s="135" t="s">
        <v>33</v>
      </c>
      <c r="B29" s="216" t="s">
        <v>260</v>
      </c>
      <c r="C29" s="135"/>
      <c r="D29" s="135" t="s">
        <v>7</v>
      </c>
      <c r="E29" s="124">
        <f>COUNTBLANK(statAnswPotProd)</f>
        <v>3</v>
      </c>
      <c r="F29" s="230"/>
      <c r="G29" s="230"/>
      <c r="H29" s="230"/>
      <c r="I29" s="230"/>
      <c r="J29" s="230"/>
      <c r="K29" s="230"/>
      <c r="L29" s="256"/>
      <c r="M29" s="230"/>
      <c r="N29" s="261"/>
      <c r="O29" s="262"/>
      <c r="P29" s="329"/>
      <c r="Q29" s="329"/>
      <c r="R29" s="329"/>
      <c r="S29" s="329"/>
      <c r="T29" s="329"/>
      <c r="U29" s="329"/>
      <c r="V29" s="329"/>
      <c r="W29" s="228">
        <v>1</v>
      </c>
      <c r="X29" s="62">
        <v>3</v>
      </c>
      <c r="Y29" s="156">
        <f>IF(X29=" ",W29,AVERAGE(W29:X29))</f>
        <v>2</v>
      </c>
      <c r="Z29" s="149">
        <f>IF(Y29&gt;=3,3,IF(Y29&gt;=2,2,IF(Y29&gt;=1,1,IF(Y29&gt;=0,0))))</f>
        <v>2</v>
      </c>
      <c r="AA29" s="63" t="str">
        <f>IF(Y29&gt;=3,Data!$A$10,IF(Y29&gt;=2,Data!$A$11,IF(Y29&gt;=1,Data!$A$12,IF(Y29&gt;=0,Data!$A$13))))</f>
        <v>Important</v>
      </c>
      <c r="AB29" s="63">
        <f>AVERAGE(W29:X29)</f>
        <v>2</v>
      </c>
      <c r="AC29" s="64">
        <f>IFERROR(IF(AA29=Data!$A$13,Data!$A$13,AVERAGE(statPotPro)),"N/A")</f>
        <v>0</v>
      </c>
      <c r="AD29" s="65" t="e">
        <f>AB29/SUM(ImporOper)</f>
        <v>#REF!</v>
      </c>
      <c r="AE29" s="219" t="e">
        <f>AC29*AD29</f>
        <v>#REF!</v>
      </c>
      <c r="AF29" s="353"/>
    </row>
    <row r="30" spans="1:34" ht="42" customHeight="1" outlineLevel="1" x14ac:dyDescent="0.25">
      <c r="A30" s="53" t="s">
        <v>33</v>
      </c>
      <c r="B30" s="50" t="s">
        <v>26</v>
      </c>
      <c r="C30" s="50">
        <v>21</v>
      </c>
      <c r="D30" s="51" t="s">
        <v>383</v>
      </c>
      <c r="E30" s="123"/>
      <c r="F30" s="52">
        <v>5</v>
      </c>
      <c r="G30" s="53">
        <v>4</v>
      </c>
      <c r="H30" s="53">
        <v>3</v>
      </c>
      <c r="I30" s="53">
        <v>2</v>
      </c>
      <c r="J30" s="54">
        <v>1</v>
      </c>
      <c r="K30" s="53">
        <v>0</v>
      </c>
      <c r="L30" s="53">
        <v>0</v>
      </c>
      <c r="M30" s="266" t="s">
        <v>8</v>
      </c>
      <c r="N30" s="276"/>
      <c r="O30" s="277"/>
      <c r="P30" s="62"/>
      <c r="Q30" s="62"/>
      <c r="R30" s="53">
        <v>2</v>
      </c>
      <c r="S30" s="53">
        <f>IF(Q30=" ",R30,AVERAGE(R30,Q30))</f>
        <v>2</v>
      </c>
      <c r="T30" s="53">
        <f>S30/SUM(impSPotPro)</f>
        <v>0.33333333333333331</v>
      </c>
      <c r="U30" s="54">
        <f>IF($P30=$F$4,5,IF($P30=$G$4,4,IF($P30=$H$4,3,IF($P30=$I$4,2,IF($P30=$J$4,1,IF($P30=$K$4,0,IF($P30=$M$4,"--",0)))))))</f>
        <v>0</v>
      </c>
      <c r="V30" s="49">
        <f>U30</f>
        <v>0</v>
      </c>
      <c r="W30" s="334"/>
      <c r="X30" s="334"/>
      <c r="Y30" s="334"/>
      <c r="Z30" s="334"/>
      <c r="AA30" s="334"/>
      <c r="AB30" s="334"/>
      <c r="AC30" s="334"/>
      <c r="AD30" s="334"/>
      <c r="AE30" s="335"/>
      <c r="AF30" s="353"/>
    </row>
    <row r="31" spans="1:34" ht="33" customHeight="1" outlineLevel="1" x14ac:dyDescent="0.25">
      <c r="A31" s="53" t="s">
        <v>33</v>
      </c>
      <c r="B31" s="50" t="s">
        <v>27</v>
      </c>
      <c r="C31" s="50">
        <v>22</v>
      </c>
      <c r="D31" s="51" t="s">
        <v>384</v>
      </c>
      <c r="E31" s="123"/>
      <c r="F31" s="52">
        <v>5</v>
      </c>
      <c r="G31" s="53">
        <v>4</v>
      </c>
      <c r="H31" s="53">
        <v>3</v>
      </c>
      <c r="I31" s="53">
        <v>2</v>
      </c>
      <c r="J31" s="54">
        <v>1</v>
      </c>
      <c r="K31" s="53">
        <v>0</v>
      </c>
      <c r="L31" s="53">
        <v>0</v>
      </c>
      <c r="M31" s="266" t="s">
        <v>8</v>
      </c>
      <c r="N31" s="276"/>
      <c r="O31" s="277"/>
      <c r="P31" s="62"/>
      <c r="Q31" s="62"/>
      <c r="R31" s="53">
        <v>2</v>
      </c>
      <c r="S31" s="53">
        <f>IF(Q31=" ",R31,AVERAGE(R31,Q31))</f>
        <v>2</v>
      </c>
      <c r="T31" s="53">
        <f>S31/SUM(impSPotPro)</f>
        <v>0.33333333333333331</v>
      </c>
      <c r="U31" s="54">
        <f>IF($P31=$F$4,5,IF($P31=$G$4,4,IF($P31=$H$4,3,IF($P31=$I$4,2,IF($P31=$J$4,1,IF($P31=$K$4,0,IF($P31=$M$4,"--",0)))))))</f>
        <v>0</v>
      </c>
      <c r="V31" s="49">
        <f>U31</f>
        <v>0</v>
      </c>
      <c r="W31" s="334"/>
      <c r="X31" s="334"/>
      <c r="Y31" s="334"/>
      <c r="Z31" s="334"/>
      <c r="AA31" s="334"/>
      <c r="AB31" s="334"/>
      <c r="AC31" s="334"/>
      <c r="AD31" s="334"/>
      <c r="AE31" s="335"/>
      <c r="AF31" s="353"/>
    </row>
    <row r="32" spans="1:34" ht="33" customHeight="1" outlineLevel="1" x14ac:dyDescent="0.25">
      <c r="A32" s="53" t="s">
        <v>33</v>
      </c>
      <c r="B32" s="50" t="s">
        <v>28</v>
      </c>
      <c r="C32" s="50">
        <v>23</v>
      </c>
      <c r="D32" s="51" t="s">
        <v>18</v>
      </c>
      <c r="E32" s="123"/>
      <c r="F32" s="52">
        <v>5</v>
      </c>
      <c r="G32" s="53">
        <v>4</v>
      </c>
      <c r="H32" s="53">
        <v>3</v>
      </c>
      <c r="I32" s="53">
        <v>2</v>
      </c>
      <c r="J32" s="54">
        <v>1</v>
      </c>
      <c r="K32" s="53">
        <v>0</v>
      </c>
      <c r="L32" s="53">
        <v>0</v>
      </c>
      <c r="M32" s="266" t="s">
        <v>8</v>
      </c>
      <c r="N32" s="276"/>
      <c r="O32" s="277"/>
      <c r="P32" s="62"/>
      <c r="Q32" s="62"/>
      <c r="R32" s="53">
        <v>2</v>
      </c>
      <c r="S32" s="53">
        <f>IF(Q32=" ",R32,AVERAGE(R32,Q32))</f>
        <v>2</v>
      </c>
      <c r="T32" s="53">
        <f>S32/SUM(impSPotPro)</f>
        <v>0.33333333333333331</v>
      </c>
      <c r="U32" s="54">
        <f>IF($P32=$F$4,5,IF($P32=$G$4,4,IF($P32=$H$4,3,IF($P32=$I$4,2,IF($P32=$J$4,1,IF($P32=$K$4,0,IF($P32=$M$4,"--",0)))))))</f>
        <v>0</v>
      </c>
      <c r="V32" s="49">
        <f>U32</f>
        <v>0</v>
      </c>
      <c r="W32" s="334"/>
      <c r="X32" s="334"/>
      <c r="Y32" s="334"/>
      <c r="Z32" s="334"/>
      <c r="AA32" s="334"/>
      <c r="AB32" s="334"/>
      <c r="AC32" s="334"/>
      <c r="AD32" s="334"/>
      <c r="AE32" s="335"/>
      <c r="AF32" s="353"/>
      <c r="AH32" s="82"/>
    </row>
    <row r="33" spans="1:34" ht="33" customHeight="1" x14ac:dyDescent="0.25">
      <c r="A33" s="135" t="s">
        <v>33</v>
      </c>
      <c r="B33" s="216" t="s">
        <v>260</v>
      </c>
      <c r="C33" s="135"/>
      <c r="D33" s="135" t="s">
        <v>107</v>
      </c>
      <c r="E33" s="124">
        <f>COUNTBLANK(statAnswProcDisc)</f>
        <v>4</v>
      </c>
      <c r="F33" s="230"/>
      <c r="G33" s="230"/>
      <c r="H33" s="230"/>
      <c r="I33" s="230"/>
      <c r="J33" s="230"/>
      <c r="K33" s="230"/>
      <c r="L33" s="256"/>
      <c r="M33" s="230"/>
      <c r="N33" s="261"/>
      <c r="O33" s="262"/>
      <c r="P33" s="329"/>
      <c r="Q33" s="329"/>
      <c r="R33" s="329"/>
      <c r="S33" s="329"/>
      <c r="T33" s="329"/>
      <c r="U33" s="329"/>
      <c r="V33" s="329"/>
      <c r="W33" s="228">
        <v>3</v>
      </c>
      <c r="X33" s="62"/>
      <c r="Y33" s="156">
        <f>IF(X33=" ",W33,AVERAGE(W33:X33))</f>
        <v>3</v>
      </c>
      <c r="Z33" s="149">
        <f>IF(Y33&gt;=3,3,IF(Y33&gt;=2,2,IF(Y33&gt;=1,1,IF(Y33&gt;=0,0))))</f>
        <v>3</v>
      </c>
      <c r="AA33" s="63" t="str">
        <f>IF(Y33&gt;=3,Data!$A$10,IF(Y33&gt;=2,Data!$A$11,IF(Y33&gt;=1,Data!$A$12,IF(Y33&gt;=0,Data!$A$13))))</f>
        <v>Very important</v>
      </c>
      <c r="AB33" s="63">
        <f>AVERAGE(W33:X33)</f>
        <v>3</v>
      </c>
      <c r="AC33" s="64">
        <f>IFERROR(IF(AA33=Data!$A$13,Data!$A$13,AVERAGE(statProc)),"N/A")</f>
        <v>0</v>
      </c>
      <c r="AD33" s="65" t="e">
        <f>AB33/SUM(ImporOper)</f>
        <v>#REF!</v>
      </c>
      <c r="AE33" s="219" t="e">
        <f>AC33*AD33</f>
        <v>#REF!</v>
      </c>
      <c r="AF33" s="353"/>
      <c r="AH33" s="82"/>
    </row>
    <row r="34" spans="1:34" ht="33" customHeight="1" outlineLevel="1" x14ac:dyDescent="0.25">
      <c r="A34" s="53" t="s">
        <v>33</v>
      </c>
      <c r="B34" s="50" t="s">
        <v>108</v>
      </c>
      <c r="C34" s="50">
        <v>33</v>
      </c>
      <c r="D34" s="51" t="s">
        <v>188</v>
      </c>
      <c r="E34" s="123"/>
      <c r="F34" s="52">
        <v>5</v>
      </c>
      <c r="G34" s="53">
        <v>4</v>
      </c>
      <c r="H34" s="53">
        <v>3</v>
      </c>
      <c r="I34" s="53">
        <v>2</v>
      </c>
      <c r="J34" s="54">
        <v>1</v>
      </c>
      <c r="K34" s="53">
        <v>0</v>
      </c>
      <c r="L34" s="53">
        <v>0</v>
      </c>
      <c r="M34" s="266" t="s">
        <v>8</v>
      </c>
      <c r="N34" s="276"/>
      <c r="O34" s="277"/>
      <c r="P34" s="62"/>
      <c r="Q34" s="62"/>
      <c r="R34" s="53">
        <v>2</v>
      </c>
      <c r="S34" s="53">
        <f>IF(Q34=" ",R34,AVERAGE(R34,Q34))</f>
        <v>2</v>
      </c>
      <c r="T34" s="53">
        <f>S34/SUM(impSProcess)</f>
        <v>0.25</v>
      </c>
      <c r="U34" s="54">
        <f>IF($P34=$F$4,5,IF($P34=$G$4,4,IF($P34=$H$4,3,IF($P34=$I$4,2,IF($P34=$J$4,1,IF($P34=$K$4,0,IF($P34=$M$4,"--",0)))))))</f>
        <v>0</v>
      </c>
      <c r="V34" s="49">
        <f>U34</f>
        <v>0</v>
      </c>
      <c r="W34" s="334"/>
      <c r="X34" s="334"/>
      <c r="Y34" s="334"/>
      <c r="Z34" s="334"/>
      <c r="AA34" s="334"/>
      <c r="AB34" s="334"/>
      <c r="AC34" s="334"/>
      <c r="AD34" s="334"/>
      <c r="AE34" s="335"/>
      <c r="AF34" s="353"/>
      <c r="AH34" s="83"/>
    </row>
    <row r="35" spans="1:34" ht="44.25" customHeight="1" outlineLevel="1" x14ac:dyDescent="0.25">
      <c r="A35" s="53" t="s">
        <v>33</v>
      </c>
      <c r="B35" s="50" t="s">
        <v>170</v>
      </c>
      <c r="C35" s="50">
        <v>34</v>
      </c>
      <c r="D35" s="51" t="s">
        <v>385</v>
      </c>
      <c r="E35" s="123"/>
      <c r="F35" s="52">
        <v>5</v>
      </c>
      <c r="G35" s="53">
        <v>4</v>
      </c>
      <c r="H35" s="53">
        <v>3</v>
      </c>
      <c r="I35" s="53">
        <v>2</v>
      </c>
      <c r="J35" s="54">
        <v>1</v>
      </c>
      <c r="K35" s="53">
        <v>0</v>
      </c>
      <c r="L35" s="53">
        <v>0</v>
      </c>
      <c r="M35" s="266" t="s">
        <v>8</v>
      </c>
      <c r="N35" s="276"/>
      <c r="O35" s="277"/>
      <c r="P35" s="62"/>
      <c r="Q35" s="62"/>
      <c r="R35" s="53">
        <v>2</v>
      </c>
      <c r="S35" s="53">
        <f>IF(Q35=" ",R35,AVERAGE(R35,Q35))</f>
        <v>2</v>
      </c>
      <c r="T35" s="53">
        <f>S35/SUM(impSProcess)</f>
        <v>0.25</v>
      </c>
      <c r="U35" s="54">
        <f>IF($P35=$F$4,5,IF($P35=$G$4,4,IF($P35=$H$4,3,IF($P35=$I$4,2,IF($P35=$J$4,1,IF($P35=$K$4,0,IF($P35=$M$4,"--",0)))))))</f>
        <v>0</v>
      </c>
      <c r="V35" s="49">
        <f>U35</f>
        <v>0</v>
      </c>
      <c r="W35" s="334"/>
      <c r="X35" s="334"/>
      <c r="Y35" s="334"/>
      <c r="Z35" s="334"/>
      <c r="AA35" s="334"/>
      <c r="AB35" s="334"/>
      <c r="AC35" s="334"/>
      <c r="AD35" s="334"/>
      <c r="AE35" s="335"/>
      <c r="AF35" s="353"/>
    </row>
    <row r="36" spans="1:34" ht="33" customHeight="1" outlineLevel="1" x14ac:dyDescent="0.25">
      <c r="A36" s="53" t="s">
        <v>33</v>
      </c>
      <c r="B36" s="50" t="s">
        <v>109</v>
      </c>
      <c r="C36" s="50">
        <v>35</v>
      </c>
      <c r="D36" s="51" t="s">
        <v>386</v>
      </c>
      <c r="E36" s="123"/>
      <c r="F36" s="52">
        <v>5</v>
      </c>
      <c r="G36" s="53">
        <v>4</v>
      </c>
      <c r="H36" s="53">
        <v>3</v>
      </c>
      <c r="I36" s="53">
        <v>2</v>
      </c>
      <c r="J36" s="54">
        <v>1</v>
      </c>
      <c r="K36" s="53">
        <v>0</v>
      </c>
      <c r="L36" s="53">
        <v>0</v>
      </c>
      <c r="M36" s="266" t="s">
        <v>8</v>
      </c>
      <c r="N36" s="276"/>
      <c r="O36" s="277"/>
      <c r="P36" s="62"/>
      <c r="Q36" s="62"/>
      <c r="R36" s="53">
        <v>2</v>
      </c>
      <c r="S36" s="53">
        <f>IF(Q36=" ",R36,AVERAGE(R36,Q36))</f>
        <v>2</v>
      </c>
      <c r="T36" s="53">
        <f>S36/SUM(impSProcess)</f>
        <v>0.25</v>
      </c>
      <c r="U36" s="54">
        <f>IF($P36=$F$4,5,IF($P36=$G$4,4,IF($P36=$H$4,3,IF($P36=$I$4,2,IF($P36=$J$4,1,IF($P36=$K$4,0,IF($P36=$M$4,"--",0)))))))</f>
        <v>0</v>
      </c>
      <c r="V36" s="49">
        <f>U36</f>
        <v>0</v>
      </c>
      <c r="W36" s="334"/>
      <c r="X36" s="334"/>
      <c r="Y36" s="334"/>
      <c r="Z36" s="334"/>
      <c r="AA36" s="334"/>
      <c r="AB36" s="334"/>
      <c r="AC36" s="334"/>
      <c r="AD36" s="334"/>
      <c r="AE36" s="335"/>
      <c r="AF36" s="353"/>
    </row>
    <row r="37" spans="1:34" ht="33" customHeight="1" outlineLevel="1" x14ac:dyDescent="0.25">
      <c r="A37" s="53" t="s">
        <v>33</v>
      </c>
      <c r="B37" s="50" t="s">
        <v>110</v>
      </c>
      <c r="C37" s="50">
        <v>36</v>
      </c>
      <c r="D37" s="51" t="s">
        <v>173</v>
      </c>
      <c r="E37" s="123"/>
      <c r="F37" s="52">
        <v>5</v>
      </c>
      <c r="G37" s="53">
        <v>4</v>
      </c>
      <c r="H37" s="53">
        <v>3</v>
      </c>
      <c r="I37" s="53">
        <v>2</v>
      </c>
      <c r="J37" s="54">
        <v>1</v>
      </c>
      <c r="K37" s="53">
        <v>0</v>
      </c>
      <c r="L37" s="53">
        <v>0</v>
      </c>
      <c r="M37" s="266" t="s">
        <v>8</v>
      </c>
      <c r="N37" s="276"/>
      <c r="O37" s="277"/>
      <c r="P37" s="62"/>
      <c r="Q37" s="62"/>
      <c r="R37" s="53">
        <v>2</v>
      </c>
      <c r="S37" s="53">
        <f>IF(Q37=" ",R37,AVERAGE(R37,Q37))</f>
        <v>2</v>
      </c>
      <c r="T37" s="53">
        <f>S37/SUM(impSProcess)</f>
        <v>0.25</v>
      </c>
      <c r="U37" s="54">
        <f>IF($P37=$F$4,5,IF($P37=$G$4,4,IF($P37=$H$4,3,IF($P37=$I$4,2,IF($P37=$J$4,1,IF($P37=$K$4,0,IF($P37=$M$4,"--",0)))))))</f>
        <v>0</v>
      </c>
      <c r="V37" s="49">
        <f>U37</f>
        <v>0</v>
      </c>
      <c r="W37" s="334"/>
      <c r="X37" s="334"/>
      <c r="Y37" s="334"/>
      <c r="Z37" s="334"/>
      <c r="AA37" s="334"/>
      <c r="AB37" s="334"/>
      <c r="AC37" s="334"/>
      <c r="AD37" s="334"/>
      <c r="AE37" s="335"/>
      <c r="AF37" s="353"/>
    </row>
    <row r="38" spans="1:34" ht="33" customHeight="1" x14ac:dyDescent="0.25">
      <c r="A38" s="260" t="s">
        <v>33</v>
      </c>
      <c r="B38" s="217" t="s">
        <v>260</v>
      </c>
      <c r="C38" s="135"/>
      <c r="D38" s="135" t="s">
        <v>218</v>
      </c>
      <c r="E38" s="124">
        <f>COUNTBLANK(statAnswPLAwa)</f>
        <v>2</v>
      </c>
      <c r="F38" s="230"/>
      <c r="G38" s="230"/>
      <c r="H38" s="230"/>
      <c r="I38" s="230"/>
      <c r="J38" s="230"/>
      <c r="K38" s="230"/>
      <c r="L38" s="256"/>
      <c r="M38" s="230"/>
      <c r="N38" s="261"/>
      <c r="O38" s="262"/>
      <c r="P38" s="329"/>
      <c r="Q38" s="329"/>
      <c r="R38" s="329"/>
      <c r="S38" s="329"/>
      <c r="T38" s="329"/>
      <c r="U38" s="329"/>
      <c r="V38" s="329"/>
      <c r="W38" s="228">
        <v>3</v>
      </c>
      <c r="X38" s="62"/>
      <c r="Y38" s="156">
        <f>IF(X38=" ",W38,AVERAGE(W38:X38))</f>
        <v>3</v>
      </c>
      <c r="Z38" s="149">
        <f>IF(Y38&gt;=3,3,IF(Y38&gt;=2,2,IF(Y38&gt;=1,1,IF(Y38&gt;=0,0))))</f>
        <v>3</v>
      </c>
      <c r="AA38" s="63" t="str">
        <f>IF(Y38&gt;=3,Data!$A$10,IF(Y38&gt;=2,Data!$A$11,IF(Y38&gt;=1,Data!$A$12,IF(Y38&gt;=0,Data!$A$13))))</f>
        <v>Very important</v>
      </c>
      <c r="AB38" s="63">
        <f>AVERAGE(W38:X38)</f>
        <v>3</v>
      </c>
      <c r="AC38" s="64">
        <f>IFERROR(IF(AA38=Data!$A$13,Data!$A$13,AVERAGE(statPLAwar)),"N/A")</f>
        <v>0</v>
      </c>
      <c r="AD38" s="65" t="e">
        <f>AB38/SUM(ImporOper)</f>
        <v>#REF!</v>
      </c>
      <c r="AE38" s="219" t="e">
        <f>AC38*AD38</f>
        <v>#REF!</v>
      </c>
      <c r="AF38" s="353"/>
    </row>
    <row r="39" spans="1:34" ht="33" customHeight="1" outlineLevel="1" x14ac:dyDescent="0.25">
      <c r="A39" s="54" t="s">
        <v>33</v>
      </c>
      <c r="B39" s="50" t="s">
        <v>130</v>
      </c>
      <c r="C39" s="50">
        <v>37</v>
      </c>
      <c r="D39" s="51" t="s">
        <v>412</v>
      </c>
      <c r="E39" s="123"/>
      <c r="F39" s="52">
        <v>5</v>
      </c>
      <c r="G39" s="53">
        <v>4</v>
      </c>
      <c r="H39" s="53">
        <v>3</v>
      </c>
      <c r="I39" s="53">
        <v>2</v>
      </c>
      <c r="J39" s="54">
        <v>1</v>
      </c>
      <c r="K39" s="53">
        <v>0</v>
      </c>
      <c r="L39" s="53">
        <v>0</v>
      </c>
      <c r="M39" s="266" t="s">
        <v>8</v>
      </c>
      <c r="N39" s="276"/>
      <c r="O39" s="277"/>
      <c r="P39" s="62"/>
      <c r="Q39" s="62"/>
      <c r="R39" s="53">
        <v>2</v>
      </c>
      <c r="S39" s="53">
        <f>IF(Q39=" ",R39,AVERAGE(R39,Q39))</f>
        <v>2</v>
      </c>
      <c r="T39" s="53">
        <f>S39/SUM(impSPLAw)</f>
        <v>0.5</v>
      </c>
      <c r="U39" s="54">
        <f>IF($P39=$F$4,5,IF($P39=$G$4,4,IF($P39=$H$4,3,IF($P39=$I$4,2,IF($P39=$J$4,1,IF($P39=$K$4,0,IF($P39=$M$4,"--",0)))))))</f>
        <v>0</v>
      </c>
      <c r="V39" s="49">
        <f>U39</f>
        <v>0</v>
      </c>
      <c r="W39" s="334"/>
      <c r="X39" s="334"/>
      <c r="Y39" s="334"/>
      <c r="Z39" s="334"/>
      <c r="AA39" s="334"/>
      <c r="AB39" s="334"/>
      <c r="AC39" s="334"/>
      <c r="AD39" s="334"/>
      <c r="AE39" s="335"/>
      <c r="AF39" s="353"/>
    </row>
    <row r="40" spans="1:34" ht="46.5" customHeight="1" outlineLevel="1" x14ac:dyDescent="0.25">
      <c r="A40" s="54" t="s">
        <v>33</v>
      </c>
      <c r="B40" s="50" t="s">
        <v>129</v>
      </c>
      <c r="C40" s="50">
        <v>38</v>
      </c>
      <c r="D40" s="51" t="s">
        <v>387</v>
      </c>
      <c r="E40" s="123"/>
      <c r="F40" s="52">
        <v>5</v>
      </c>
      <c r="G40" s="53">
        <v>4</v>
      </c>
      <c r="H40" s="53">
        <v>3</v>
      </c>
      <c r="I40" s="53">
        <v>2</v>
      </c>
      <c r="J40" s="54">
        <v>1</v>
      </c>
      <c r="K40" s="53">
        <v>0</v>
      </c>
      <c r="L40" s="53">
        <v>0</v>
      </c>
      <c r="M40" s="266" t="s">
        <v>8</v>
      </c>
      <c r="N40" s="276"/>
      <c r="O40" s="277"/>
      <c r="P40" s="62"/>
      <c r="Q40" s="62"/>
      <c r="R40" s="53">
        <v>2</v>
      </c>
      <c r="S40" s="53">
        <f>IF(Q40=" ",R40,AVERAGE(R40,Q40))</f>
        <v>2</v>
      </c>
      <c r="T40" s="53">
        <f>S40/SUM(impSPLAw)</f>
        <v>0.5</v>
      </c>
      <c r="U40" s="54">
        <f>IF($P40=$F$4,5,IF($P40=$G$4,4,IF($P40=$H$4,3,IF($P40=$I$4,2,IF($P40=$J$4,1,IF($P40=$K$4,0,IF($P40=$M$4,"--",0)))))))</f>
        <v>0</v>
      </c>
      <c r="V40" s="49">
        <f>U40</f>
        <v>0</v>
      </c>
      <c r="W40" s="334"/>
      <c r="X40" s="334"/>
      <c r="Y40" s="334"/>
      <c r="Z40" s="334"/>
      <c r="AA40" s="334"/>
      <c r="AB40" s="334"/>
      <c r="AC40" s="334"/>
      <c r="AD40" s="334"/>
      <c r="AE40" s="335"/>
      <c r="AF40" s="353"/>
    </row>
    <row r="41" spans="1:34" ht="24.75" customHeight="1" x14ac:dyDescent="0.25">
      <c r="A41" s="354" t="str">
        <f>Data!C12</f>
        <v>Technical</v>
      </c>
      <c r="B41" s="354"/>
      <c r="C41" s="354"/>
      <c r="D41" s="354"/>
      <c r="E41" s="354"/>
      <c r="F41" s="354"/>
      <c r="G41" s="354"/>
      <c r="H41" s="354"/>
      <c r="I41" s="354"/>
      <c r="J41" s="354"/>
      <c r="K41" s="354"/>
      <c r="L41" s="354"/>
      <c r="M41" s="354"/>
      <c r="N41" s="354"/>
      <c r="O41" s="354"/>
      <c r="P41" s="354"/>
      <c r="Q41" s="354"/>
      <c r="R41" s="354"/>
      <c r="S41" s="354"/>
      <c r="T41" s="354"/>
      <c r="U41" s="354"/>
      <c r="V41" s="354"/>
      <c r="W41" s="354"/>
      <c r="X41" s="354"/>
      <c r="Y41" s="354"/>
      <c r="Z41" s="354"/>
      <c r="AA41" s="354"/>
      <c r="AB41" s="354"/>
      <c r="AC41" s="354"/>
      <c r="AD41" s="354"/>
      <c r="AE41" s="355"/>
      <c r="AF41" s="81">
        <f>AE42+AE46+AE54+AE61</f>
        <v>0</v>
      </c>
    </row>
    <row r="42" spans="1:34" ht="33" customHeight="1" x14ac:dyDescent="0.25">
      <c r="A42" s="135" t="s">
        <v>33</v>
      </c>
      <c r="B42" s="135" t="s">
        <v>96</v>
      </c>
      <c r="C42" s="135"/>
      <c r="D42" s="135" t="s">
        <v>229</v>
      </c>
      <c r="E42" s="124">
        <f>COUNTBLANK(statAnswCommVar)</f>
        <v>3</v>
      </c>
      <c r="F42" s="230"/>
      <c r="G42" s="230"/>
      <c r="H42" s="230"/>
      <c r="I42" s="230"/>
      <c r="J42" s="230"/>
      <c r="K42" s="230"/>
      <c r="L42" s="256"/>
      <c r="M42" s="230"/>
      <c r="N42" s="261"/>
      <c r="O42" s="262"/>
      <c r="P42" s="329"/>
      <c r="Q42" s="329"/>
      <c r="R42" s="329"/>
      <c r="S42" s="329"/>
      <c r="T42" s="329"/>
      <c r="U42" s="329"/>
      <c r="V42" s="329"/>
      <c r="W42" s="228">
        <v>3</v>
      </c>
      <c r="X42" s="62"/>
      <c r="Y42" s="156">
        <f>IF(X42=" ",W42,AVERAGE(W42:X42))</f>
        <v>3</v>
      </c>
      <c r="Z42" s="149">
        <f>IF(Y42&gt;=3,3,IF(Y42&gt;=2,2,IF(Y42&gt;=1,1,IF(Y42&gt;=0,0))))</f>
        <v>3</v>
      </c>
      <c r="AA42" s="63" t="str">
        <f>IF(Y42&gt;=3,Data!$A$10,IF(Y42&gt;=2,Data!$A$11,IF(Y42&gt;=1,Data!$A$12,IF(Y42&gt;=0,Data!$A$13))))</f>
        <v>Very important</v>
      </c>
      <c r="AB42" s="63">
        <f>AVERAGE(W42:X42)</f>
        <v>3</v>
      </c>
      <c r="AC42" s="64">
        <f>IFERROR(IF(AA42=Data!$A$13,Data!$A$13,AVERAGE(statComVar)),"N/A")</f>
        <v>0</v>
      </c>
      <c r="AD42" s="65">
        <f>AB42/SUM(imporTec)</f>
        <v>0.27272727272727271</v>
      </c>
      <c r="AE42" s="219">
        <f>AC42*AD42</f>
        <v>0</v>
      </c>
      <c r="AF42" s="348"/>
    </row>
    <row r="43" spans="1:34" ht="33" customHeight="1" outlineLevel="1" x14ac:dyDescent="0.25">
      <c r="A43" s="54" t="s">
        <v>33</v>
      </c>
      <c r="B43" s="50" t="s">
        <v>117</v>
      </c>
      <c r="C43" s="50">
        <v>40</v>
      </c>
      <c r="D43" s="51" t="s">
        <v>118</v>
      </c>
      <c r="E43" s="123"/>
      <c r="F43" s="52">
        <v>5</v>
      </c>
      <c r="G43" s="53">
        <v>4</v>
      </c>
      <c r="H43" s="53">
        <v>3</v>
      </c>
      <c r="I43" s="53">
        <v>2</v>
      </c>
      <c r="J43" s="54">
        <v>1</v>
      </c>
      <c r="K43" s="53">
        <v>0</v>
      </c>
      <c r="L43" s="53">
        <v>0</v>
      </c>
      <c r="M43" s="266" t="s">
        <v>8</v>
      </c>
      <c r="N43" s="276"/>
      <c r="O43" s="277"/>
      <c r="P43" s="62"/>
      <c r="Q43" s="62"/>
      <c r="R43" s="53">
        <v>2</v>
      </c>
      <c r="S43" s="53">
        <f>IF(Q43=" ",R43,AVERAGE(R43,Q43))</f>
        <v>2</v>
      </c>
      <c r="T43" s="53">
        <f>S43/SUM(impSComVar)</f>
        <v>0.33333333333333331</v>
      </c>
      <c r="U43" s="54">
        <f>IF($P43=$F$4,5,IF($P43=$G$4,4,IF($P43=$H$4,3,IF($P43=$I$4,2,IF($P43=$J$4,1,IF($P43=$K$4,0,IF($P43=$M$4,"--",0)))))))</f>
        <v>0</v>
      </c>
      <c r="V43" s="49">
        <f>U43</f>
        <v>0</v>
      </c>
      <c r="W43" s="351"/>
      <c r="X43" s="351"/>
      <c r="Y43" s="351"/>
      <c r="Z43" s="351"/>
      <c r="AA43" s="351"/>
      <c r="AB43" s="351"/>
      <c r="AC43" s="351"/>
      <c r="AD43" s="351"/>
      <c r="AE43" s="352"/>
      <c r="AF43" s="348"/>
    </row>
    <row r="44" spans="1:34" ht="33" customHeight="1" outlineLevel="1" x14ac:dyDescent="0.25">
      <c r="A44" s="54" t="s">
        <v>33</v>
      </c>
      <c r="B44" s="50" t="s">
        <v>119</v>
      </c>
      <c r="C44" s="50">
        <v>41</v>
      </c>
      <c r="D44" s="51" t="s">
        <v>388</v>
      </c>
      <c r="E44" s="123"/>
      <c r="F44" s="52">
        <v>5</v>
      </c>
      <c r="G44" s="53">
        <v>4</v>
      </c>
      <c r="H44" s="53">
        <v>3</v>
      </c>
      <c r="I44" s="53">
        <v>2</v>
      </c>
      <c r="J44" s="54">
        <v>1</v>
      </c>
      <c r="K44" s="53">
        <v>0</v>
      </c>
      <c r="L44" s="53">
        <v>0</v>
      </c>
      <c r="M44" s="266" t="s">
        <v>8</v>
      </c>
      <c r="N44" s="276"/>
      <c r="O44" s="277"/>
      <c r="P44" s="62"/>
      <c r="Q44" s="62"/>
      <c r="R44" s="53">
        <v>2</v>
      </c>
      <c r="S44" s="53">
        <f>IF(Q44=" ",R44,AVERAGE(R44,Q44))</f>
        <v>2</v>
      </c>
      <c r="T44" s="53">
        <f>S44/SUM(impSComVar)</f>
        <v>0.33333333333333331</v>
      </c>
      <c r="U44" s="54">
        <f>IF($P44=$F$4,5,IF($P44=$G$4,4,IF($P44=$H$4,3,IF($P44=$I$4,2,IF($P44=$J$4,1,IF($P44=$K$4,0,IF($P44=$M$4,"--",0)))))))</f>
        <v>0</v>
      </c>
      <c r="V44" s="49">
        <f>U44</f>
        <v>0</v>
      </c>
      <c r="W44" s="351"/>
      <c r="X44" s="351"/>
      <c r="Y44" s="351"/>
      <c r="Z44" s="351"/>
      <c r="AA44" s="351"/>
      <c r="AB44" s="351"/>
      <c r="AC44" s="351"/>
      <c r="AD44" s="351"/>
      <c r="AE44" s="352"/>
      <c r="AF44" s="348"/>
    </row>
    <row r="45" spans="1:34" ht="33" customHeight="1" outlineLevel="1" x14ac:dyDescent="0.25">
      <c r="A45" s="54" t="s">
        <v>33</v>
      </c>
      <c r="B45" s="50" t="s">
        <v>120</v>
      </c>
      <c r="C45" s="50">
        <v>42</v>
      </c>
      <c r="D45" s="51" t="s">
        <v>389</v>
      </c>
      <c r="E45" s="123"/>
      <c r="F45" s="52">
        <v>5</v>
      </c>
      <c r="G45" s="53">
        <v>4</v>
      </c>
      <c r="H45" s="53">
        <v>3</v>
      </c>
      <c r="I45" s="53">
        <v>2</v>
      </c>
      <c r="J45" s="54">
        <v>1</v>
      </c>
      <c r="K45" s="53">
        <v>0</v>
      </c>
      <c r="L45" s="53">
        <v>0</v>
      </c>
      <c r="M45" s="266" t="s">
        <v>8</v>
      </c>
      <c r="N45" s="276"/>
      <c r="O45" s="277"/>
      <c r="P45" s="62"/>
      <c r="Q45" s="62"/>
      <c r="R45" s="53">
        <v>2</v>
      </c>
      <c r="S45" s="53">
        <f>IF(Q45=" ",R45,AVERAGE(R45,Q45))</f>
        <v>2</v>
      </c>
      <c r="T45" s="53">
        <f>S45/SUM(impSComVar)</f>
        <v>0.33333333333333331</v>
      </c>
      <c r="U45" s="54">
        <f>IF($P45=$F$4,5,IF($P45=$G$4,4,IF($P45=$H$4,3,IF($P45=$I$4,2,IF($P45=$J$4,1,IF($P45=$K$4,0,IF($P45=$M$4,"--",0)))))))</f>
        <v>0</v>
      </c>
      <c r="V45" s="49">
        <f>U45</f>
        <v>0</v>
      </c>
      <c r="W45" s="351"/>
      <c r="X45" s="351"/>
      <c r="Y45" s="351"/>
      <c r="Z45" s="351"/>
      <c r="AA45" s="351"/>
      <c r="AB45" s="351"/>
      <c r="AC45" s="351"/>
      <c r="AD45" s="351"/>
      <c r="AE45" s="352"/>
      <c r="AF45" s="348"/>
    </row>
    <row r="46" spans="1:34" ht="33" customHeight="1" x14ac:dyDescent="0.25">
      <c r="A46" s="135" t="s">
        <v>33</v>
      </c>
      <c r="B46" s="135" t="s">
        <v>96</v>
      </c>
      <c r="C46" s="135"/>
      <c r="D46" s="135" t="s">
        <v>140</v>
      </c>
      <c r="E46" s="124">
        <f>COUNTBLANK(statAnswReuseApt)</f>
        <v>7</v>
      </c>
      <c r="F46" s="230"/>
      <c r="G46" s="230"/>
      <c r="H46" s="230"/>
      <c r="I46" s="230"/>
      <c r="J46" s="230"/>
      <c r="K46" s="230"/>
      <c r="L46" s="256"/>
      <c r="M46" s="230"/>
      <c r="N46" s="261"/>
      <c r="O46" s="262"/>
      <c r="P46" s="329"/>
      <c r="Q46" s="329"/>
      <c r="R46" s="329"/>
      <c r="S46" s="329"/>
      <c r="T46" s="329"/>
      <c r="U46" s="329"/>
      <c r="V46" s="329"/>
      <c r="W46" s="228">
        <v>1</v>
      </c>
      <c r="X46" s="62">
        <v>3</v>
      </c>
      <c r="Y46" s="156">
        <f>IF(X46=" ",W46,AVERAGE(W46:X46))</f>
        <v>2</v>
      </c>
      <c r="Z46" s="149">
        <f>IF(Y46&gt;=3,3,IF(Y46&gt;=2,2,IF(Y46&gt;=1,1,IF(Y46&gt;=0,0))))</f>
        <v>2</v>
      </c>
      <c r="AA46" s="63" t="str">
        <f>IF(Y46&gt;=3,Data!$A$10,IF(Y46&gt;=2,Data!$A$11,IF(Y46&gt;=1,Data!$A$12,IF(Y46&gt;=0,Data!$A$13))))</f>
        <v>Important</v>
      </c>
      <c r="AB46" s="63">
        <f>AVERAGE(W46:X46)</f>
        <v>2</v>
      </c>
      <c r="AC46" s="64">
        <f>IFERROR(IF(AA46=Data!$A$13,Data!$A$13,AVERAGE(statReuseApt)),"N/A")</f>
        <v>0</v>
      </c>
      <c r="AD46" s="65">
        <f>AB46/SUM(imporTec)</f>
        <v>0.18181818181818182</v>
      </c>
      <c r="AE46" s="219">
        <f>AC46*AD46</f>
        <v>0</v>
      </c>
      <c r="AF46" s="348"/>
    </row>
    <row r="47" spans="1:34" ht="33" customHeight="1" outlineLevel="1" x14ac:dyDescent="0.25">
      <c r="A47" s="54" t="s">
        <v>33</v>
      </c>
      <c r="B47" s="50" t="s">
        <v>150</v>
      </c>
      <c r="C47" s="50">
        <v>55</v>
      </c>
      <c r="D47" s="51" t="s">
        <v>390</v>
      </c>
      <c r="E47" s="123"/>
      <c r="F47" s="52">
        <v>5</v>
      </c>
      <c r="G47" s="53">
        <v>4</v>
      </c>
      <c r="H47" s="53">
        <v>3</v>
      </c>
      <c r="I47" s="53">
        <v>2</v>
      </c>
      <c r="J47" s="54">
        <v>1</v>
      </c>
      <c r="K47" s="53">
        <v>0</v>
      </c>
      <c r="L47" s="53">
        <v>0</v>
      </c>
      <c r="M47" s="266" t="s">
        <v>8</v>
      </c>
      <c r="N47" s="276"/>
      <c r="O47" s="277"/>
      <c r="P47" s="62"/>
      <c r="Q47" s="62"/>
      <c r="R47" s="53">
        <v>2</v>
      </c>
      <c r="S47" s="53">
        <f t="shared" ref="S47:S53" si="4">IF(Q47=" ",R47,AVERAGE(R47,Q47))</f>
        <v>2</v>
      </c>
      <c r="T47" s="53">
        <f t="shared" ref="T47:T53" si="5">S47/SUM(impSReuseApt)</f>
        <v>0.14285714285714285</v>
      </c>
      <c r="U47" s="54">
        <f t="shared" ref="U47:U53" si="6">IF($P47=$F$4,5,IF($P47=$G$4,4,IF($P47=$H$4,3,IF($P47=$I$4,2,IF($P47=$J$4,1,IF($P47=$K$4,0,IF($P47=$M$4,"--",0)))))))</f>
        <v>0</v>
      </c>
      <c r="V47" s="49">
        <f t="shared" ref="V47:V53" si="7">U47</f>
        <v>0</v>
      </c>
      <c r="W47" s="351"/>
      <c r="X47" s="351"/>
      <c r="Y47" s="351"/>
      <c r="Z47" s="351"/>
      <c r="AA47" s="351"/>
      <c r="AB47" s="351"/>
      <c r="AC47" s="351"/>
      <c r="AD47" s="351"/>
      <c r="AE47" s="352"/>
      <c r="AF47" s="348"/>
    </row>
    <row r="48" spans="1:34" ht="33" customHeight="1" outlineLevel="1" x14ac:dyDescent="0.25">
      <c r="A48" s="54" t="s">
        <v>33</v>
      </c>
      <c r="B48" s="50" t="s">
        <v>141</v>
      </c>
      <c r="C48" s="50">
        <v>56</v>
      </c>
      <c r="D48" s="51" t="s">
        <v>391</v>
      </c>
      <c r="E48" s="123"/>
      <c r="F48" s="52">
        <v>5</v>
      </c>
      <c r="G48" s="53">
        <v>4</v>
      </c>
      <c r="H48" s="53">
        <v>3</v>
      </c>
      <c r="I48" s="53">
        <v>2</v>
      </c>
      <c r="J48" s="54">
        <v>1</v>
      </c>
      <c r="K48" s="53">
        <v>0</v>
      </c>
      <c r="L48" s="53">
        <v>0</v>
      </c>
      <c r="M48" s="266" t="s">
        <v>8</v>
      </c>
      <c r="N48" s="276"/>
      <c r="O48" s="277"/>
      <c r="P48" s="62"/>
      <c r="Q48" s="62"/>
      <c r="R48" s="53">
        <v>2</v>
      </c>
      <c r="S48" s="53">
        <f t="shared" si="4"/>
        <v>2</v>
      </c>
      <c r="T48" s="53">
        <f t="shared" si="5"/>
        <v>0.14285714285714285</v>
      </c>
      <c r="U48" s="54">
        <f t="shared" si="6"/>
        <v>0</v>
      </c>
      <c r="V48" s="49">
        <f t="shared" si="7"/>
        <v>0</v>
      </c>
      <c r="W48" s="351"/>
      <c r="X48" s="351"/>
      <c r="Y48" s="351"/>
      <c r="Z48" s="351"/>
      <c r="AA48" s="351"/>
      <c r="AB48" s="351"/>
      <c r="AC48" s="351"/>
      <c r="AD48" s="351"/>
      <c r="AE48" s="352"/>
      <c r="AF48" s="348"/>
    </row>
    <row r="49" spans="1:35" ht="33" customHeight="1" outlineLevel="1" x14ac:dyDescent="0.25">
      <c r="A49" s="54" t="s">
        <v>33</v>
      </c>
      <c r="B49" s="50" t="s">
        <v>142</v>
      </c>
      <c r="C49" s="50">
        <v>57</v>
      </c>
      <c r="D49" s="51" t="s">
        <v>392</v>
      </c>
      <c r="E49" s="123"/>
      <c r="F49" s="52">
        <v>5</v>
      </c>
      <c r="G49" s="53">
        <v>4</v>
      </c>
      <c r="H49" s="53">
        <v>3</v>
      </c>
      <c r="I49" s="53">
        <v>2</v>
      </c>
      <c r="J49" s="54">
        <v>1</v>
      </c>
      <c r="K49" s="53">
        <v>0</v>
      </c>
      <c r="L49" s="53">
        <v>0</v>
      </c>
      <c r="M49" s="266" t="s">
        <v>8</v>
      </c>
      <c r="N49" s="276"/>
      <c r="O49" s="277"/>
      <c r="P49" s="62"/>
      <c r="Q49" s="62"/>
      <c r="R49" s="53">
        <v>2</v>
      </c>
      <c r="S49" s="53">
        <f t="shared" si="4"/>
        <v>2</v>
      </c>
      <c r="T49" s="53">
        <f t="shared" si="5"/>
        <v>0.14285714285714285</v>
      </c>
      <c r="U49" s="54">
        <f t="shared" si="6"/>
        <v>0</v>
      </c>
      <c r="V49" s="49">
        <f t="shared" si="7"/>
        <v>0</v>
      </c>
      <c r="W49" s="351"/>
      <c r="X49" s="351"/>
      <c r="Y49" s="351"/>
      <c r="Z49" s="351"/>
      <c r="AA49" s="351"/>
      <c r="AB49" s="351"/>
      <c r="AC49" s="351"/>
      <c r="AD49" s="351"/>
      <c r="AE49" s="352"/>
      <c r="AF49" s="348"/>
    </row>
    <row r="50" spans="1:35" ht="47.25" customHeight="1" outlineLevel="1" x14ac:dyDescent="0.25">
      <c r="A50" s="54" t="s">
        <v>33</v>
      </c>
      <c r="B50" s="50" t="s">
        <v>154</v>
      </c>
      <c r="C50" s="50">
        <v>58</v>
      </c>
      <c r="D50" s="51" t="s">
        <v>393</v>
      </c>
      <c r="E50" s="123"/>
      <c r="F50" s="52">
        <v>5</v>
      </c>
      <c r="G50" s="53">
        <v>4</v>
      </c>
      <c r="H50" s="53">
        <v>3</v>
      </c>
      <c r="I50" s="53">
        <v>2</v>
      </c>
      <c r="J50" s="54">
        <v>1</v>
      </c>
      <c r="K50" s="53">
        <v>0</v>
      </c>
      <c r="L50" s="53">
        <v>0</v>
      </c>
      <c r="M50" s="266" t="s">
        <v>8</v>
      </c>
      <c r="N50" s="276"/>
      <c r="O50" s="277"/>
      <c r="P50" s="62"/>
      <c r="Q50" s="62"/>
      <c r="R50" s="53">
        <v>2</v>
      </c>
      <c r="S50" s="53">
        <f t="shared" si="4"/>
        <v>2</v>
      </c>
      <c r="T50" s="53">
        <f t="shared" si="5"/>
        <v>0.14285714285714285</v>
      </c>
      <c r="U50" s="54">
        <f t="shared" si="6"/>
        <v>0</v>
      </c>
      <c r="V50" s="49">
        <f t="shared" si="7"/>
        <v>0</v>
      </c>
      <c r="W50" s="351"/>
      <c r="X50" s="351"/>
      <c r="Y50" s="351"/>
      <c r="Z50" s="351"/>
      <c r="AA50" s="351"/>
      <c r="AB50" s="351"/>
      <c r="AC50" s="351"/>
      <c r="AD50" s="351"/>
      <c r="AE50" s="352"/>
      <c r="AF50" s="348"/>
    </row>
    <row r="51" spans="1:35" ht="33" customHeight="1" outlineLevel="1" x14ac:dyDescent="0.25">
      <c r="A51" s="54" t="s">
        <v>33</v>
      </c>
      <c r="B51" s="50" t="s">
        <v>145</v>
      </c>
      <c r="C51" s="50">
        <v>59</v>
      </c>
      <c r="D51" s="51" t="s">
        <v>394</v>
      </c>
      <c r="E51" s="123"/>
      <c r="F51" s="52">
        <v>5</v>
      </c>
      <c r="G51" s="53">
        <v>4</v>
      </c>
      <c r="H51" s="53">
        <v>3</v>
      </c>
      <c r="I51" s="53">
        <v>2</v>
      </c>
      <c r="J51" s="54">
        <v>1</v>
      </c>
      <c r="K51" s="53">
        <v>0</v>
      </c>
      <c r="L51" s="53">
        <v>0</v>
      </c>
      <c r="M51" s="266" t="s">
        <v>8</v>
      </c>
      <c r="N51" s="276"/>
      <c r="O51" s="277"/>
      <c r="P51" s="62"/>
      <c r="Q51" s="62"/>
      <c r="R51" s="53">
        <v>2</v>
      </c>
      <c r="S51" s="53">
        <f t="shared" si="4"/>
        <v>2</v>
      </c>
      <c r="T51" s="53">
        <f t="shared" si="5"/>
        <v>0.14285714285714285</v>
      </c>
      <c r="U51" s="54">
        <f t="shared" si="6"/>
        <v>0</v>
      </c>
      <c r="V51" s="49">
        <f t="shared" si="7"/>
        <v>0</v>
      </c>
      <c r="W51" s="351"/>
      <c r="X51" s="351"/>
      <c r="Y51" s="351"/>
      <c r="Z51" s="351"/>
      <c r="AA51" s="351"/>
      <c r="AB51" s="351"/>
      <c r="AC51" s="351"/>
      <c r="AD51" s="351"/>
      <c r="AE51" s="352"/>
      <c r="AF51" s="348"/>
    </row>
    <row r="52" spans="1:35" ht="33" customHeight="1" outlineLevel="1" x14ac:dyDescent="0.25">
      <c r="A52" s="54" t="s">
        <v>33</v>
      </c>
      <c r="B52" s="50" t="s">
        <v>154</v>
      </c>
      <c r="C52" s="50">
        <v>60</v>
      </c>
      <c r="D52" s="51" t="s">
        <v>395</v>
      </c>
      <c r="E52" s="123"/>
      <c r="F52" s="52">
        <v>5</v>
      </c>
      <c r="G52" s="53">
        <v>4</v>
      </c>
      <c r="H52" s="53">
        <v>3</v>
      </c>
      <c r="I52" s="53">
        <v>2</v>
      </c>
      <c r="J52" s="54">
        <v>1</v>
      </c>
      <c r="K52" s="53">
        <v>0</v>
      </c>
      <c r="L52" s="53">
        <v>0</v>
      </c>
      <c r="M52" s="266" t="s">
        <v>8</v>
      </c>
      <c r="N52" s="276"/>
      <c r="O52" s="277"/>
      <c r="P52" s="62"/>
      <c r="Q52" s="62"/>
      <c r="R52" s="53">
        <v>2</v>
      </c>
      <c r="S52" s="53">
        <f t="shared" si="4"/>
        <v>2</v>
      </c>
      <c r="T52" s="53">
        <f t="shared" si="5"/>
        <v>0.14285714285714285</v>
      </c>
      <c r="U52" s="54">
        <f t="shared" si="6"/>
        <v>0</v>
      </c>
      <c r="V52" s="49">
        <f t="shared" si="7"/>
        <v>0</v>
      </c>
      <c r="W52" s="351"/>
      <c r="X52" s="351"/>
      <c r="Y52" s="351"/>
      <c r="Z52" s="351"/>
      <c r="AA52" s="351"/>
      <c r="AB52" s="351"/>
      <c r="AC52" s="351"/>
      <c r="AD52" s="351"/>
      <c r="AE52" s="352"/>
      <c r="AF52" s="348"/>
    </row>
    <row r="53" spans="1:35" ht="42" customHeight="1" outlineLevel="1" x14ac:dyDescent="0.25">
      <c r="A53" s="54" t="s">
        <v>33</v>
      </c>
      <c r="B53" s="50" t="s">
        <v>151</v>
      </c>
      <c r="C53" s="50">
        <v>61</v>
      </c>
      <c r="D53" s="51" t="s">
        <v>396</v>
      </c>
      <c r="E53" s="123"/>
      <c r="F53" s="52">
        <v>5</v>
      </c>
      <c r="G53" s="53">
        <v>4</v>
      </c>
      <c r="H53" s="53">
        <v>3</v>
      </c>
      <c r="I53" s="53">
        <v>2</v>
      </c>
      <c r="J53" s="54">
        <v>1</v>
      </c>
      <c r="K53" s="53">
        <v>0</v>
      </c>
      <c r="L53" s="53">
        <v>0</v>
      </c>
      <c r="M53" s="266" t="s">
        <v>8</v>
      </c>
      <c r="N53" s="276"/>
      <c r="O53" s="277"/>
      <c r="P53" s="62"/>
      <c r="Q53" s="62"/>
      <c r="R53" s="53">
        <v>2</v>
      </c>
      <c r="S53" s="53">
        <f t="shared" si="4"/>
        <v>2</v>
      </c>
      <c r="T53" s="53">
        <f t="shared" si="5"/>
        <v>0.14285714285714285</v>
      </c>
      <c r="U53" s="54">
        <f t="shared" si="6"/>
        <v>0</v>
      </c>
      <c r="V53" s="49">
        <f t="shared" si="7"/>
        <v>0</v>
      </c>
      <c r="W53" s="351"/>
      <c r="X53" s="351"/>
      <c r="Y53" s="351"/>
      <c r="Z53" s="351"/>
      <c r="AA53" s="351"/>
      <c r="AB53" s="351"/>
      <c r="AC53" s="351"/>
      <c r="AD53" s="351"/>
      <c r="AE53" s="352"/>
      <c r="AF53" s="348"/>
    </row>
    <row r="54" spans="1:35" ht="33" customHeight="1" x14ac:dyDescent="0.25">
      <c r="A54" s="135" t="s">
        <v>33</v>
      </c>
      <c r="B54" s="135" t="s">
        <v>96</v>
      </c>
      <c r="C54" s="135"/>
      <c r="D54" s="135" t="s">
        <v>127</v>
      </c>
      <c r="E54" s="124">
        <f>COUNTBLANK(statAnswReusePot)</f>
        <v>6</v>
      </c>
      <c r="F54" s="230"/>
      <c r="G54" s="230"/>
      <c r="H54" s="230"/>
      <c r="I54" s="230"/>
      <c r="J54" s="230"/>
      <c r="K54" s="230"/>
      <c r="L54" s="256"/>
      <c r="M54" s="230"/>
      <c r="N54" s="261"/>
      <c r="O54" s="262"/>
      <c r="P54" s="329"/>
      <c r="Q54" s="329"/>
      <c r="R54" s="329"/>
      <c r="S54" s="329"/>
      <c r="T54" s="329"/>
      <c r="U54" s="329"/>
      <c r="V54" s="329"/>
      <c r="W54" s="228">
        <v>3</v>
      </c>
      <c r="X54" s="62"/>
      <c r="Y54" s="156">
        <f>IF(X54=" ",W54,AVERAGE(W54:X54))</f>
        <v>3</v>
      </c>
      <c r="Z54" s="149">
        <f>IF(Y54&gt;=3,3,IF(Y54&gt;=2,2,IF(Y54&gt;=1,1,IF(Y54&gt;=0,0))))</f>
        <v>3</v>
      </c>
      <c r="AA54" s="63" t="str">
        <f>IF(Y54&gt;=3,Data!$A$10,IF(Y54&gt;=2,Data!$A$11,IF(Y54&gt;=1,Data!$A$12,IF(Y54&gt;=0,Data!$A$13))))</f>
        <v>Very important</v>
      </c>
      <c r="AB54" s="63">
        <f>AVERAGE(W54:X54)</f>
        <v>3</v>
      </c>
      <c r="AC54" s="64">
        <f>IFERROR(IF(AA54=Data!$A$13,Data!$A$13,AVERAGE(statReusePot)),"N/A")</f>
        <v>0</v>
      </c>
      <c r="AD54" s="65">
        <f>AB54/SUM(imporTec)</f>
        <v>0.27272727272727271</v>
      </c>
      <c r="AE54" s="219">
        <f>AC54*AD54</f>
        <v>0</v>
      </c>
      <c r="AF54" s="348"/>
      <c r="AI54" s="122"/>
    </row>
    <row r="55" spans="1:35" ht="33" customHeight="1" outlineLevel="1" x14ac:dyDescent="0.25">
      <c r="A55" s="54" t="s">
        <v>33</v>
      </c>
      <c r="B55" s="50" t="s">
        <v>136</v>
      </c>
      <c r="C55" s="50">
        <v>48</v>
      </c>
      <c r="D55" s="51" t="s">
        <v>143</v>
      </c>
      <c r="E55" s="123"/>
      <c r="F55" s="52">
        <v>5</v>
      </c>
      <c r="G55" s="53">
        <v>4</v>
      </c>
      <c r="H55" s="53">
        <v>3</v>
      </c>
      <c r="I55" s="53">
        <v>2</v>
      </c>
      <c r="J55" s="54">
        <v>1</v>
      </c>
      <c r="K55" s="53">
        <v>0</v>
      </c>
      <c r="L55" s="53">
        <v>0</v>
      </c>
      <c r="M55" s="266" t="s">
        <v>8</v>
      </c>
      <c r="N55" s="276"/>
      <c r="O55" s="277"/>
      <c r="P55" s="62"/>
      <c r="Q55" s="62"/>
      <c r="R55" s="53">
        <v>2</v>
      </c>
      <c r="S55" s="53">
        <f t="shared" ref="S55:S60" si="8">IF(Q55=" ",R55,AVERAGE(R55,Q55))</f>
        <v>2</v>
      </c>
      <c r="T55" s="53">
        <f t="shared" ref="T55:T60" si="9">S55/SUM(impSReusePot)</f>
        <v>0.16666666666666666</v>
      </c>
      <c r="U55" s="54">
        <f t="shared" ref="U55:U60" si="10">IF($P55=$F$4,5,IF($P55=$G$4,4,IF($P55=$H$4,3,IF($P55=$I$4,2,IF($P55=$J$4,1,IF($P55=$K$4,0,IF($P55=$M$4,"--",0)))))))</f>
        <v>0</v>
      </c>
      <c r="V55" s="49">
        <f t="shared" ref="V55:V60" si="11">U55</f>
        <v>0</v>
      </c>
      <c r="W55" s="351"/>
      <c r="X55" s="351"/>
      <c r="Y55" s="351"/>
      <c r="Z55" s="351"/>
      <c r="AA55" s="351"/>
      <c r="AB55" s="351"/>
      <c r="AC55" s="351"/>
      <c r="AD55" s="351"/>
      <c r="AE55" s="352"/>
      <c r="AF55" s="348"/>
    </row>
    <row r="56" spans="1:35" ht="33" customHeight="1" outlineLevel="1" x14ac:dyDescent="0.25">
      <c r="A56" s="54" t="s">
        <v>33</v>
      </c>
      <c r="B56" s="50" t="s">
        <v>137</v>
      </c>
      <c r="C56" s="50">
        <v>49</v>
      </c>
      <c r="D56" s="51" t="s">
        <v>397</v>
      </c>
      <c r="E56" s="123"/>
      <c r="F56" s="52">
        <v>5</v>
      </c>
      <c r="G56" s="53">
        <v>4</v>
      </c>
      <c r="H56" s="53">
        <v>3</v>
      </c>
      <c r="I56" s="53">
        <v>2</v>
      </c>
      <c r="J56" s="54">
        <v>1</v>
      </c>
      <c r="K56" s="53">
        <v>0</v>
      </c>
      <c r="L56" s="53">
        <v>0</v>
      </c>
      <c r="M56" s="266" t="s">
        <v>8</v>
      </c>
      <c r="N56" s="276"/>
      <c r="O56" s="277"/>
      <c r="P56" s="62"/>
      <c r="Q56" s="62"/>
      <c r="R56" s="53">
        <v>2</v>
      </c>
      <c r="S56" s="53">
        <f t="shared" si="8"/>
        <v>2</v>
      </c>
      <c r="T56" s="53">
        <f t="shared" si="9"/>
        <v>0.16666666666666666</v>
      </c>
      <c r="U56" s="54">
        <f t="shared" si="10"/>
        <v>0</v>
      </c>
      <c r="V56" s="49">
        <f t="shared" si="11"/>
        <v>0</v>
      </c>
      <c r="W56" s="351"/>
      <c r="X56" s="351"/>
      <c r="Y56" s="351"/>
      <c r="Z56" s="351"/>
      <c r="AA56" s="351"/>
      <c r="AB56" s="351"/>
      <c r="AC56" s="351"/>
      <c r="AD56" s="351"/>
      <c r="AE56" s="352"/>
      <c r="AF56" s="348"/>
    </row>
    <row r="57" spans="1:35" ht="33" customHeight="1" outlineLevel="1" x14ac:dyDescent="0.25">
      <c r="A57" s="54" t="s">
        <v>33</v>
      </c>
      <c r="B57" s="50" t="s">
        <v>144</v>
      </c>
      <c r="C57" s="50">
        <v>51</v>
      </c>
      <c r="D57" s="51" t="s">
        <v>398</v>
      </c>
      <c r="E57" s="123"/>
      <c r="F57" s="52">
        <v>5</v>
      </c>
      <c r="G57" s="53">
        <v>4</v>
      </c>
      <c r="H57" s="53">
        <v>3</v>
      </c>
      <c r="I57" s="53">
        <v>2</v>
      </c>
      <c r="J57" s="54">
        <v>1</v>
      </c>
      <c r="K57" s="53">
        <v>0</v>
      </c>
      <c r="L57" s="53">
        <v>0</v>
      </c>
      <c r="M57" s="266" t="s">
        <v>8</v>
      </c>
      <c r="N57" s="276"/>
      <c r="O57" s="277"/>
      <c r="P57" s="62"/>
      <c r="Q57" s="62"/>
      <c r="R57" s="53">
        <v>2</v>
      </c>
      <c r="S57" s="53">
        <f t="shared" si="8"/>
        <v>2</v>
      </c>
      <c r="T57" s="53">
        <f t="shared" si="9"/>
        <v>0.16666666666666666</v>
      </c>
      <c r="U57" s="54">
        <f t="shared" si="10"/>
        <v>0</v>
      </c>
      <c r="V57" s="49">
        <f t="shared" si="11"/>
        <v>0</v>
      </c>
      <c r="W57" s="351"/>
      <c r="X57" s="351"/>
      <c r="Y57" s="351"/>
      <c r="Z57" s="351"/>
      <c r="AA57" s="351"/>
      <c r="AB57" s="351"/>
      <c r="AC57" s="351"/>
      <c r="AD57" s="351"/>
      <c r="AE57" s="352"/>
      <c r="AF57" s="348"/>
    </row>
    <row r="58" spans="1:35" ht="33" customHeight="1" outlineLevel="1" x14ac:dyDescent="0.25">
      <c r="A58" s="54" t="s">
        <v>33</v>
      </c>
      <c r="B58" s="50" t="s">
        <v>139</v>
      </c>
      <c r="C58" s="50">
        <v>52</v>
      </c>
      <c r="D58" s="51" t="s">
        <v>347</v>
      </c>
      <c r="E58" s="123"/>
      <c r="F58" s="52">
        <v>5</v>
      </c>
      <c r="G58" s="53">
        <v>4</v>
      </c>
      <c r="H58" s="53">
        <v>3</v>
      </c>
      <c r="I58" s="53">
        <v>2</v>
      </c>
      <c r="J58" s="54">
        <v>1</v>
      </c>
      <c r="K58" s="53">
        <v>0</v>
      </c>
      <c r="L58" s="53">
        <v>0</v>
      </c>
      <c r="M58" s="266" t="s">
        <v>8</v>
      </c>
      <c r="N58" s="276"/>
      <c r="O58" s="277"/>
      <c r="P58" s="62"/>
      <c r="Q58" s="62"/>
      <c r="R58" s="53">
        <v>2</v>
      </c>
      <c r="S58" s="53">
        <f t="shared" si="8"/>
        <v>2</v>
      </c>
      <c r="T58" s="53">
        <f t="shared" si="9"/>
        <v>0.16666666666666666</v>
      </c>
      <c r="U58" s="54">
        <f t="shared" si="10"/>
        <v>0</v>
      </c>
      <c r="V58" s="49">
        <f t="shared" si="11"/>
        <v>0</v>
      </c>
      <c r="W58" s="351"/>
      <c r="X58" s="351"/>
      <c r="Y58" s="351"/>
      <c r="Z58" s="351"/>
      <c r="AA58" s="351"/>
      <c r="AB58" s="351"/>
      <c r="AC58" s="351"/>
      <c r="AD58" s="351"/>
      <c r="AE58" s="352"/>
      <c r="AF58" s="348"/>
    </row>
    <row r="59" spans="1:35" ht="33" customHeight="1" outlineLevel="1" x14ac:dyDescent="0.25">
      <c r="A59" s="54" t="s">
        <v>33</v>
      </c>
      <c r="B59" s="50" t="s">
        <v>148</v>
      </c>
      <c r="C59" s="50">
        <v>53</v>
      </c>
      <c r="D59" s="51" t="s">
        <v>399</v>
      </c>
      <c r="E59" s="123"/>
      <c r="F59" s="52">
        <v>5</v>
      </c>
      <c r="G59" s="53">
        <v>4</v>
      </c>
      <c r="H59" s="53">
        <v>3</v>
      </c>
      <c r="I59" s="53">
        <v>2</v>
      </c>
      <c r="J59" s="54">
        <v>1</v>
      </c>
      <c r="K59" s="53">
        <v>0</v>
      </c>
      <c r="L59" s="53">
        <v>0</v>
      </c>
      <c r="M59" s="266" t="s">
        <v>8</v>
      </c>
      <c r="N59" s="276"/>
      <c r="O59" s="277"/>
      <c r="P59" s="62"/>
      <c r="Q59" s="62"/>
      <c r="R59" s="53">
        <v>2</v>
      </c>
      <c r="S59" s="53">
        <f t="shared" si="8"/>
        <v>2</v>
      </c>
      <c r="T59" s="53">
        <f t="shared" si="9"/>
        <v>0.16666666666666666</v>
      </c>
      <c r="U59" s="54">
        <f t="shared" si="10"/>
        <v>0</v>
      </c>
      <c r="V59" s="49">
        <f t="shared" si="11"/>
        <v>0</v>
      </c>
      <c r="W59" s="351"/>
      <c r="X59" s="351"/>
      <c r="Y59" s="351"/>
      <c r="Z59" s="351"/>
      <c r="AA59" s="351"/>
      <c r="AB59" s="351"/>
      <c r="AC59" s="351"/>
      <c r="AD59" s="351"/>
      <c r="AE59" s="352"/>
      <c r="AF59" s="348"/>
    </row>
    <row r="60" spans="1:35" ht="33" customHeight="1" outlineLevel="1" x14ac:dyDescent="0.25">
      <c r="A60" s="54" t="s">
        <v>33</v>
      </c>
      <c r="B60" s="50" t="s">
        <v>136</v>
      </c>
      <c r="C60" s="50">
        <v>54</v>
      </c>
      <c r="D60" s="51" t="s">
        <v>400</v>
      </c>
      <c r="E60" s="123"/>
      <c r="F60" s="52">
        <v>5</v>
      </c>
      <c r="G60" s="53">
        <v>4</v>
      </c>
      <c r="H60" s="53">
        <v>3</v>
      </c>
      <c r="I60" s="53">
        <v>2</v>
      </c>
      <c r="J60" s="54">
        <v>1</v>
      </c>
      <c r="K60" s="53">
        <v>0</v>
      </c>
      <c r="L60" s="53">
        <v>0</v>
      </c>
      <c r="M60" s="266" t="s">
        <v>8</v>
      </c>
      <c r="N60" s="276"/>
      <c r="O60" s="277"/>
      <c r="P60" s="62"/>
      <c r="Q60" s="62"/>
      <c r="R60" s="53">
        <v>2</v>
      </c>
      <c r="S60" s="53">
        <f t="shared" si="8"/>
        <v>2</v>
      </c>
      <c r="T60" s="53">
        <f t="shared" si="9"/>
        <v>0.16666666666666666</v>
      </c>
      <c r="U60" s="54">
        <f t="shared" si="10"/>
        <v>0</v>
      </c>
      <c r="V60" s="49">
        <f t="shared" si="11"/>
        <v>0</v>
      </c>
      <c r="W60" s="351"/>
      <c r="X60" s="351"/>
      <c r="Y60" s="351"/>
      <c r="Z60" s="351"/>
      <c r="AA60" s="351"/>
      <c r="AB60" s="351"/>
      <c r="AC60" s="351"/>
      <c r="AD60" s="351"/>
      <c r="AE60" s="352"/>
      <c r="AF60" s="348"/>
    </row>
    <row r="61" spans="1:35" ht="33" customHeight="1" x14ac:dyDescent="0.25">
      <c r="A61" s="135" t="s">
        <v>33</v>
      </c>
      <c r="B61" s="135" t="s">
        <v>96</v>
      </c>
      <c r="C61" s="135"/>
      <c r="D61" s="135" t="s">
        <v>134</v>
      </c>
      <c r="E61" s="124">
        <f>COUNTBLANK(statAnswSECap)</f>
        <v>3</v>
      </c>
      <c r="F61" s="230"/>
      <c r="G61" s="230"/>
      <c r="H61" s="230"/>
      <c r="I61" s="230"/>
      <c r="J61" s="230"/>
      <c r="K61" s="230"/>
      <c r="L61" s="256"/>
      <c r="M61" s="230"/>
      <c r="N61" s="261"/>
      <c r="O61" s="262"/>
      <c r="P61" s="329"/>
      <c r="Q61" s="329"/>
      <c r="R61" s="329"/>
      <c r="S61" s="329"/>
      <c r="T61" s="329"/>
      <c r="U61" s="329"/>
      <c r="V61" s="329"/>
      <c r="W61" s="228">
        <v>3</v>
      </c>
      <c r="X61" s="62"/>
      <c r="Y61" s="156">
        <f>IF(X61=" ",W61,AVERAGE(W61:X61))</f>
        <v>3</v>
      </c>
      <c r="Z61" s="149">
        <f>IF(Y61&gt;=3,3,IF(Y61&gt;=2,2,IF(Y61&gt;=1,1,IF(Y61&gt;=0,0))))</f>
        <v>3</v>
      </c>
      <c r="AA61" s="63" t="str">
        <f>IF(Y61&gt;=3,Data!$A$10,IF(Y61&gt;=2,Data!$A$11,IF(Y61&gt;=1,Data!$A$12,IF(Y61&gt;=0,Data!$A$13))))</f>
        <v>Very important</v>
      </c>
      <c r="AB61" s="63">
        <f>AVERAGE(W61:X61)</f>
        <v>3</v>
      </c>
      <c r="AC61" s="64">
        <f>IFERROR(IF(AA61=Data!$A$13,Data!$A$13,AVERAGE(statSoftEng)),"N/A")</f>
        <v>0</v>
      </c>
      <c r="AD61" s="65">
        <f>AB61/SUM(imporTec)</f>
        <v>0.27272727272727271</v>
      </c>
      <c r="AE61" s="219">
        <f>AC61*AD61</f>
        <v>0</v>
      </c>
      <c r="AF61" s="348"/>
    </row>
    <row r="62" spans="1:35" ht="33" customHeight="1" outlineLevel="1" x14ac:dyDescent="0.25">
      <c r="A62" s="54" t="s">
        <v>33</v>
      </c>
      <c r="B62" s="50" t="s">
        <v>147</v>
      </c>
      <c r="C62" s="50">
        <v>43</v>
      </c>
      <c r="D62" s="51" t="s">
        <v>195</v>
      </c>
      <c r="E62" s="123"/>
      <c r="F62" s="52">
        <v>5</v>
      </c>
      <c r="G62" s="53">
        <v>4</v>
      </c>
      <c r="H62" s="53">
        <v>3</v>
      </c>
      <c r="I62" s="53">
        <v>2</v>
      </c>
      <c r="J62" s="54">
        <v>1</v>
      </c>
      <c r="K62" s="53">
        <v>0</v>
      </c>
      <c r="L62" s="53">
        <v>0</v>
      </c>
      <c r="M62" s="266" t="s">
        <v>8</v>
      </c>
      <c r="N62" s="276"/>
      <c r="O62" s="277"/>
      <c r="P62" s="62"/>
      <c r="Q62" s="62"/>
      <c r="R62" s="53">
        <v>2</v>
      </c>
      <c r="S62" s="53">
        <f>IF(Q62=" ",R62,AVERAGE(R62,Q62))</f>
        <v>2</v>
      </c>
      <c r="T62" s="53">
        <f>S62/SUM(impSSofEng)</f>
        <v>0.33333333333333331</v>
      </c>
      <c r="U62" s="54">
        <f>IF($P62=$F$4,5,IF($P62=$G$4,4,IF($P62=$H$4,3,IF($P62=$I$4,2,IF($P62=$J$4,1,IF($P62=$K$4,0,IF($P62=$M$4,"--",0)))))))</f>
        <v>0</v>
      </c>
      <c r="V62" s="49">
        <f>U62</f>
        <v>0</v>
      </c>
      <c r="W62" s="351"/>
      <c r="X62" s="351"/>
      <c r="Y62" s="351"/>
      <c r="Z62" s="351"/>
      <c r="AA62" s="351"/>
      <c r="AB62" s="351"/>
      <c r="AC62" s="351"/>
      <c r="AD62" s="351"/>
      <c r="AE62" s="352"/>
      <c r="AF62" s="348"/>
    </row>
    <row r="63" spans="1:35" ht="33" customHeight="1" outlineLevel="1" x14ac:dyDescent="0.25">
      <c r="A63" s="54" t="s">
        <v>33</v>
      </c>
      <c r="B63" s="50" t="s">
        <v>149</v>
      </c>
      <c r="C63" s="50">
        <v>45</v>
      </c>
      <c r="D63" s="51" t="s">
        <v>401</v>
      </c>
      <c r="E63" s="123"/>
      <c r="F63" s="52">
        <v>5</v>
      </c>
      <c r="G63" s="53">
        <v>4</v>
      </c>
      <c r="H63" s="53">
        <v>3</v>
      </c>
      <c r="I63" s="53">
        <v>2</v>
      </c>
      <c r="J63" s="54">
        <v>1</v>
      </c>
      <c r="K63" s="53">
        <v>0</v>
      </c>
      <c r="L63" s="53">
        <v>0</v>
      </c>
      <c r="M63" s="266" t="s">
        <v>8</v>
      </c>
      <c r="N63" s="276"/>
      <c r="O63" s="277"/>
      <c r="P63" s="62"/>
      <c r="Q63" s="62"/>
      <c r="R63" s="53">
        <v>2</v>
      </c>
      <c r="S63" s="53">
        <f>IF(Q63=" ",R63,AVERAGE(R63,Q63))</f>
        <v>2</v>
      </c>
      <c r="T63" s="53">
        <f>S63/SUM(impSSofEng)</f>
        <v>0.33333333333333331</v>
      </c>
      <c r="U63" s="54">
        <f>IF($P63=$F$4,5,IF($P63=$G$4,4,IF($P63=$H$4,3,IF($P63=$I$4,2,IF($P63=$J$4,1,IF($P63=$K$4,0,IF($P63=$M$4,"--",0)))))))</f>
        <v>0</v>
      </c>
      <c r="V63" s="49">
        <f>U63</f>
        <v>0</v>
      </c>
      <c r="W63" s="351"/>
      <c r="X63" s="351"/>
      <c r="Y63" s="351"/>
      <c r="Z63" s="351"/>
      <c r="AA63" s="351"/>
      <c r="AB63" s="351"/>
      <c r="AC63" s="351"/>
      <c r="AD63" s="351"/>
      <c r="AE63" s="352"/>
      <c r="AF63" s="348"/>
    </row>
    <row r="64" spans="1:35" ht="33" customHeight="1" outlineLevel="1" x14ac:dyDescent="0.25">
      <c r="A64" s="54" t="s">
        <v>33</v>
      </c>
      <c r="B64" s="50" t="s">
        <v>146</v>
      </c>
      <c r="C64" s="50">
        <v>47</v>
      </c>
      <c r="D64" s="51" t="s">
        <v>348</v>
      </c>
      <c r="E64" s="123"/>
      <c r="F64" s="52">
        <v>5</v>
      </c>
      <c r="G64" s="53">
        <v>4</v>
      </c>
      <c r="H64" s="53">
        <v>3</v>
      </c>
      <c r="I64" s="53">
        <v>2</v>
      </c>
      <c r="J64" s="54">
        <v>1</v>
      </c>
      <c r="K64" s="53">
        <v>0</v>
      </c>
      <c r="L64" s="53">
        <v>0</v>
      </c>
      <c r="M64" s="266" t="s">
        <v>8</v>
      </c>
      <c r="N64" s="276"/>
      <c r="O64" s="277"/>
      <c r="P64" s="62"/>
      <c r="Q64" s="62"/>
      <c r="R64" s="53">
        <v>2</v>
      </c>
      <c r="S64" s="53">
        <f>IF(Q64=" ",R64,AVERAGE(R64,Q64))</f>
        <v>2</v>
      </c>
      <c r="T64" s="53">
        <f>S64/SUM(impSSofEng)</f>
        <v>0.33333333333333331</v>
      </c>
      <c r="U64" s="54">
        <f>IF($P64=$F$4,5,IF($P64=$G$4,4,IF($P64=$H$4,3,IF($P64=$I$4,2,IF($P64=$J$4,1,IF($P64=$K$4,0,IF($P64=$M$4,"--",0)))))))</f>
        <v>0</v>
      </c>
      <c r="V64" s="49">
        <f>U64</f>
        <v>0</v>
      </c>
      <c r="W64" s="351"/>
      <c r="X64" s="351"/>
      <c r="Y64" s="351"/>
      <c r="Z64" s="351"/>
      <c r="AA64" s="351"/>
      <c r="AB64" s="351"/>
      <c r="AC64" s="351"/>
      <c r="AD64" s="351"/>
      <c r="AE64" s="352"/>
      <c r="AF64" s="348"/>
    </row>
    <row r="65" spans="1:32" ht="23.25" customHeight="1" x14ac:dyDescent="0.25">
      <c r="A65" s="354" t="str">
        <f>Data!C11</f>
        <v>Economic</v>
      </c>
      <c r="B65" s="354"/>
      <c r="C65" s="354"/>
      <c r="D65" s="354"/>
      <c r="E65" s="354"/>
      <c r="F65" s="354"/>
      <c r="G65" s="354"/>
      <c r="H65" s="354"/>
      <c r="I65" s="354"/>
      <c r="J65" s="354"/>
      <c r="K65" s="354"/>
      <c r="L65" s="354"/>
      <c r="M65" s="354"/>
      <c r="N65" s="354"/>
      <c r="O65" s="354"/>
      <c r="P65" s="354"/>
      <c r="Q65" s="354"/>
      <c r="R65" s="354"/>
      <c r="S65" s="354"/>
      <c r="T65" s="354"/>
      <c r="U65" s="354"/>
      <c r="V65" s="354"/>
      <c r="W65" s="354"/>
      <c r="X65" s="354"/>
      <c r="Y65" s="354"/>
      <c r="Z65" s="354"/>
      <c r="AA65" s="354"/>
      <c r="AB65" s="354"/>
      <c r="AC65" s="354"/>
      <c r="AD65" s="354"/>
      <c r="AE65" s="355"/>
      <c r="AF65" s="81" t="e">
        <f>#REF!+AE66+AE70</f>
        <v>#REF!</v>
      </c>
    </row>
    <row r="66" spans="1:32" ht="27" customHeight="1" x14ac:dyDescent="0.25">
      <c r="A66" s="135" t="s">
        <v>33</v>
      </c>
      <c r="B66" s="135" t="s">
        <v>261</v>
      </c>
      <c r="C66" s="135"/>
      <c r="D66" s="135" t="s">
        <v>182</v>
      </c>
      <c r="E66" s="124">
        <f>COUNTBLANK(statAnswInvest)</f>
        <v>3</v>
      </c>
      <c r="F66" s="230"/>
      <c r="G66" s="230"/>
      <c r="H66" s="230"/>
      <c r="I66" s="230"/>
      <c r="J66" s="230"/>
      <c r="K66" s="230"/>
      <c r="L66" s="256"/>
      <c r="M66" s="230"/>
      <c r="N66" s="261"/>
      <c r="O66" s="262"/>
      <c r="P66" s="329"/>
      <c r="Q66" s="329"/>
      <c r="R66" s="329"/>
      <c r="S66" s="329"/>
      <c r="T66" s="329"/>
      <c r="U66" s="329"/>
      <c r="V66" s="329"/>
      <c r="W66" s="228">
        <v>2</v>
      </c>
      <c r="X66" s="62"/>
      <c r="Y66" s="156">
        <f>IF(X66=" ",W66,AVERAGE(W66:X66))</f>
        <v>2</v>
      </c>
      <c r="Z66" s="149">
        <f>IF(Y66&gt;=3,3,IF(Y66&gt;=2,2,IF(Y66&gt;=1,1,IF(Y66&gt;=0,0))))</f>
        <v>2</v>
      </c>
      <c r="AA66" s="63" t="str">
        <f>IF(Y66&gt;=3,Data!$A$10,IF(Y66&gt;=2,Data!$A$11,IF(Y66&gt;=1,Data!$A$12,IF(Y66&gt;=0,Data!$A$13))))</f>
        <v>Important</v>
      </c>
      <c r="AB66" s="63">
        <f>AVERAGE(W66:X66)</f>
        <v>2</v>
      </c>
      <c r="AC66" s="64">
        <f>IFERROR(IF(AA66=Data!$A$13,Data!$A$13,AVERAGE(statInvest)),"N/A")</f>
        <v>0</v>
      </c>
      <c r="AD66" s="65" t="e">
        <f>AB66/SUM(importEcom)</f>
        <v>#REF!</v>
      </c>
      <c r="AE66" s="219" t="e">
        <f>AC66*AD66</f>
        <v>#REF!</v>
      </c>
      <c r="AF66" s="348"/>
    </row>
    <row r="67" spans="1:32" ht="42.75" customHeight="1" outlineLevel="1" x14ac:dyDescent="0.25">
      <c r="A67" s="54" t="s">
        <v>33</v>
      </c>
      <c r="B67" s="50" t="s">
        <v>113</v>
      </c>
      <c r="C67" s="50">
        <v>66</v>
      </c>
      <c r="D67" s="51" t="s">
        <v>112</v>
      </c>
      <c r="E67" s="123"/>
      <c r="F67" s="52">
        <v>5</v>
      </c>
      <c r="G67" s="53">
        <v>4</v>
      </c>
      <c r="H67" s="53">
        <v>3</v>
      </c>
      <c r="I67" s="53">
        <v>2</v>
      </c>
      <c r="J67" s="54">
        <v>1</v>
      </c>
      <c r="K67" s="53">
        <v>0</v>
      </c>
      <c r="L67" s="53">
        <v>0</v>
      </c>
      <c r="M67" s="266" t="s">
        <v>8</v>
      </c>
      <c r="N67" s="276"/>
      <c r="O67" s="277"/>
      <c r="P67" s="62"/>
      <c r="Q67" s="62"/>
      <c r="R67" s="53">
        <v>2</v>
      </c>
      <c r="S67" s="53">
        <f>IF(Q67=" ",R67,AVERAGE(R67,Q67))</f>
        <v>2</v>
      </c>
      <c r="T67" s="53">
        <f>S67/SUM(impSInvest)</f>
        <v>0.33333333333333331</v>
      </c>
      <c r="U67" s="54">
        <f>IF($P67=$F$4,5,IF($P67=$G$4,4,IF($P67=$H$4,3,IF($P67=$I$4,2,IF($P67=$J$4,1,IF($P67=$K$4,0,IF($P67=$M$4,"--",0)))))))</f>
        <v>0</v>
      </c>
      <c r="V67" s="49">
        <f>U67</f>
        <v>0</v>
      </c>
      <c r="W67" s="351"/>
      <c r="X67" s="351"/>
      <c r="Y67" s="351"/>
      <c r="Z67" s="351"/>
      <c r="AA67" s="351"/>
      <c r="AB67" s="351"/>
      <c r="AC67" s="351"/>
      <c r="AD67" s="351"/>
      <c r="AE67" s="352"/>
      <c r="AF67" s="348"/>
    </row>
    <row r="68" spans="1:32" ht="33" customHeight="1" outlineLevel="1" x14ac:dyDescent="0.25">
      <c r="A68" s="54" t="s">
        <v>33</v>
      </c>
      <c r="B68" s="50" t="s">
        <v>133</v>
      </c>
      <c r="C68" s="50">
        <v>67</v>
      </c>
      <c r="D68" s="51" t="s">
        <v>336</v>
      </c>
      <c r="E68" s="123"/>
      <c r="F68" s="52">
        <v>5</v>
      </c>
      <c r="G68" s="53">
        <v>4</v>
      </c>
      <c r="H68" s="53">
        <v>3</v>
      </c>
      <c r="I68" s="53">
        <v>2</v>
      </c>
      <c r="J68" s="54">
        <v>1</v>
      </c>
      <c r="K68" s="53">
        <v>0</v>
      </c>
      <c r="L68" s="53">
        <v>0</v>
      </c>
      <c r="M68" s="266" t="s">
        <v>8</v>
      </c>
      <c r="N68" s="276"/>
      <c r="O68" s="277"/>
      <c r="P68" s="62"/>
      <c r="Q68" s="62"/>
      <c r="R68" s="53">
        <v>2</v>
      </c>
      <c r="S68" s="53">
        <f>IF(Q68=" ",R68,AVERAGE(R68,Q68))</f>
        <v>2</v>
      </c>
      <c r="T68" s="53">
        <f>S68/SUM(impSInvest)</f>
        <v>0.33333333333333331</v>
      </c>
      <c r="U68" s="54">
        <f>IF($P68=$F$4,5,IF($P68=$G$4,4,IF($P68=$H$4,3,IF($P68=$I$4,2,IF($P68=$J$4,1,IF($P68=$K$4,0,IF($P68=$M$4,"--",0)))))))</f>
        <v>0</v>
      </c>
      <c r="V68" s="49">
        <f>U68</f>
        <v>0</v>
      </c>
      <c r="W68" s="351"/>
      <c r="X68" s="351"/>
      <c r="Y68" s="351"/>
      <c r="Z68" s="351"/>
      <c r="AA68" s="351"/>
      <c r="AB68" s="351"/>
      <c r="AC68" s="351"/>
      <c r="AD68" s="351"/>
      <c r="AE68" s="352"/>
      <c r="AF68" s="348"/>
    </row>
    <row r="69" spans="1:32" ht="126" customHeight="1" outlineLevel="1" x14ac:dyDescent="0.25">
      <c r="A69" s="54" t="s">
        <v>33</v>
      </c>
      <c r="B69" s="273"/>
      <c r="C69" s="273"/>
      <c r="D69" s="51" t="s">
        <v>415</v>
      </c>
      <c r="E69" s="274"/>
      <c r="F69" s="52">
        <v>5</v>
      </c>
      <c r="G69" s="53">
        <v>4</v>
      </c>
      <c r="H69" s="53">
        <v>3</v>
      </c>
      <c r="I69" s="53">
        <v>2</v>
      </c>
      <c r="J69" s="54">
        <v>1</v>
      </c>
      <c r="K69" s="53">
        <v>0</v>
      </c>
      <c r="L69" s="53">
        <v>0</v>
      </c>
      <c r="M69" s="266"/>
      <c r="N69" s="278"/>
      <c r="O69" s="69"/>
      <c r="P69" s="62"/>
      <c r="Q69" s="62"/>
      <c r="R69" s="272">
        <v>2</v>
      </c>
      <c r="S69" s="272">
        <v>2</v>
      </c>
      <c r="T69" s="53">
        <f>S69/SUM(impSInvest)</f>
        <v>0.33333333333333331</v>
      </c>
      <c r="U69" s="54">
        <f>IF($P69=$F$4,5,IF($P69=$G$4,4,IF($P69=$H$4,3,IF($P69=$I$4,2,IF($P69=$J$4,1,IF($P69=$K$4,0,IF($P69=$M$4,"--",0)))))))</f>
        <v>0</v>
      </c>
      <c r="V69" s="49">
        <f>U69</f>
        <v>0</v>
      </c>
      <c r="W69" s="257"/>
      <c r="X69" s="257"/>
      <c r="Y69" s="257"/>
      <c r="Z69" s="257"/>
      <c r="AA69" s="257"/>
      <c r="AB69" s="257"/>
      <c r="AC69" s="257"/>
      <c r="AD69" s="257"/>
      <c r="AE69" s="258"/>
      <c r="AF69" s="348"/>
    </row>
    <row r="70" spans="1:32" ht="33" customHeight="1" x14ac:dyDescent="0.25">
      <c r="A70" s="135" t="s">
        <v>33</v>
      </c>
      <c r="B70" s="135" t="s">
        <v>261</v>
      </c>
      <c r="C70" s="135"/>
      <c r="D70" s="135" t="s">
        <v>181</v>
      </c>
      <c r="E70" s="124">
        <f>COUNTBLANK(statAnswMig)</f>
        <v>3</v>
      </c>
      <c r="F70" s="230"/>
      <c r="G70" s="230"/>
      <c r="H70" s="230"/>
      <c r="I70" s="230"/>
      <c r="J70" s="230"/>
      <c r="K70" s="230"/>
      <c r="L70" s="256"/>
      <c r="M70" s="230"/>
      <c r="N70" s="261"/>
      <c r="O70" s="262"/>
      <c r="P70" s="329"/>
      <c r="Q70" s="329"/>
      <c r="R70" s="329"/>
      <c r="S70" s="329"/>
      <c r="T70" s="329"/>
      <c r="U70" s="329"/>
      <c r="V70" s="329"/>
      <c r="W70" s="228">
        <v>1</v>
      </c>
      <c r="X70" s="62"/>
      <c r="Y70" s="156">
        <f>IF(X70=" ",W70,AVERAGE(W70:X70))</f>
        <v>1</v>
      </c>
      <c r="Z70" s="149">
        <f>IF(Y70&gt;=3,3,IF(Y70&gt;=2,2,IF(Y70&gt;=1,1,IF(Y70&gt;=0,0))))</f>
        <v>1</v>
      </c>
      <c r="AA70" s="63" t="str">
        <f>IF(Y70&gt;=3,Data!$A$10,IF(Y70&gt;=2,Data!$A$11,IF(Y70&gt;=1,Data!$A$12,IF(Y70&gt;=0,Data!$A$13))))</f>
        <v>Desirable</v>
      </c>
      <c r="AB70" s="63">
        <f>AVERAGE(W70:X70)</f>
        <v>1</v>
      </c>
      <c r="AC70" s="64">
        <f>IFERROR(IF(AA70=Data!$A$13,Data!$A$13,AVERAGE(statMigr)),"N/A")</f>
        <v>0</v>
      </c>
      <c r="AD70" s="65" t="e">
        <f>AB70/SUM(importEcom)</f>
        <v>#REF!</v>
      </c>
      <c r="AE70" s="219" t="e">
        <f>AC70*AD70</f>
        <v>#REF!</v>
      </c>
      <c r="AF70" s="348"/>
    </row>
    <row r="71" spans="1:32" ht="33" customHeight="1" outlineLevel="1" x14ac:dyDescent="0.25">
      <c r="A71" s="54" t="s">
        <v>33</v>
      </c>
      <c r="B71" s="50" t="s">
        <v>187</v>
      </c>
      <c r="C71" s="50">
        <v>64</v>
      </c>
      <c r="D71" s="51" t="s">
        <v>153</v>
      </c>
      <c r="E71" s="123"/>
      <c r="F71" s="52">
        <v>5</v>
      </c>
      <c r="G71" s="53">
        <v>4</v>
      </c>
      <c r="H71" s="53">
        <v>3</v>
      </c>
      <c r="I71" s="53">
        <v>2</v>
      </c>
      <c r="J71" s="54">
        <v>1</v>
      </c>
      <c r="K71" s="53">
        <v>0</v>
      </c>
      <c r="L71" s="53">
        <v>0</v>
      </c>
      <c r="M71" s="266" t="s">
        <v>8</v>
      </c>
      <c r="N71" s="265"/>
      <c r="O71" s="259"/>
      <c r="P71" s="62"/>
      <c r="Q71" s="62"/>
      <c r="R71" s="53">
        <v>2</v>
      </c>
      <c r="S71" s="53">
        <f>IF(Q71=" ",R71,AVERAGE(R71,Q71))</f>
        <v>2</v>
      </c>
      <c r="T71" s="53">
        <f>S71/SUM(impStaMig)</f>
        <v>0.33333333333333331</v>
      </c>
      <c r="U71" s="54">
        <f>IF($P71=$F$4,5,IF($P71=$G$4,4,IF($P71=$H$4,3,IF($P71=$I$4,2,IF($P71=$J$4,1,IF($P71=$K$4,0,IF($P71=$M$4,"--",0)))))))</f>
        <v>0</v>
      </c>
      <c r="V71" s="49">
        <f>U71</f>
        <v>0</v>
      </c>
      <c r="W71" s="351"/>
      <c r="X71" s="351"/>
      <c r="Y71" s="351"/>
      <c r="Z71" s="351"/>
      <c r="AA71" s="351"/>
      <c r="AB71" s="351"/>
      <c r="AC71" s="351"/>
      <c r="AD71" s="351"/>
      <c r="AE71" s="352"/>
      <c r="AF71" s="348"/>
    </row>
    <row r="72" spans="1:32" ht="33" customHeight="1" outlineLevel="1" x14ac:dyDescent="0.25">
      <c r="A72" s="54" t="s">
        <v>33</v>
      </c>
      <c r="B72" s="50" t="s">
        <v>128</v>
      </c>
      <c r="C72" s="50">
        <v>39</v>
      </c>
      <c r="D72" s="51" t="s">
        <v>414</v>
      </c>
      <c r="E72" s="123"/>
      <c r="F72" s="52">
        <v>5</v>
      </c>
      <c r="G72" s="53">
        <v>4</v>
      </c>
      <c r="H72" s="53">
        <v>3</v>
      </c>
      <c r="I72" s="53">
        <v>2</v>
      </c>
      <c r="J72" s="54">
        <v>1</v>
      </c>
      <c r="K72" s="53">
        <v>0</v>
      </c>
      <c r="L72" s="53">
        <v>0</v>
      </c>
      <c r="M72" s="266" t="s">
        <v>8</v>
      </c>
      <c r="N72" s="267"/>
      <c r="O72" s="268"/>
      <c r="P72" s="62"/>
      <c r="Q72" s="62"/>
      <c r="R72" s="53">
        <v>2</v>
      </c>
      <c r="S72" s="53">
        <f>IF(Q72=" ",R72,AVERAGE(R72,Q72))</f>
        <v>2</v>
      </c>
      <c r="T72" s="53">
        <f>S72/SUM(impStaMig)</f>
        <v>0.33333333333333331</v>
      </c>
      <c r="U72" s="54">
        <f>IF($P72=$F$4,5,IF($P72=$G$4,4,IF($P72=$H$4,3,IF($P72=$I$4,2,IF($P72=$J$4,1,IF($P72=$K$4,0,IF($P72=$M$4,"--",0)))))))</f>
        <v>0</v>
      </c>
      <c r="V72" s="49">
        <f>U72</f>
        <v>0</v>
      </c>
      <c r="W72" s="351"/>
      <c r="X72" s="351"/>
      <c r="Y72" s="351"/>
      <c r="Z72" s="351"/>
      <c r="AA72" s="351"/>
      <c r="AB72" s="351"/>
      <c r="AC72" s="351"/>
      <c r="AD72" s="351"/>
      <c r="AE72" s="352"/>
      <c r="AF72" s="348"/>
    </row>
    <row r="73" spans="1:32" ht="33" customHeight="1" outlineLevel="1" x14ac:dyDescent="0.25">
      <c r="A73" s="54" t="s">
        <v>33</v>
      </c>
      <c r="B73" s="269"/>
      <c r="C73" s="269"/>
      <c r="D73" s="270" t="s">
        <v>413</v>
      </c>
      <c r="E73" s="271"/>
      <c r="F73" s="52">
        <v>5</v>
      </c>
      <c r="G73" s="53">
        <v>4</v>
      </c>
      <c r="H73" s="53">
        <v>3</v>
      </c>
      <c r="I73" s="53">
        <v>2</v>
      </c>
      <c r="J73" s="54">
        <v>1</v>
      </c>
      <c r="K73" s="53">
        <v>0</v>
      </c>
      <c r="L73" s="53">
        <v>0</v>
      </c>
      <c r="M73" s="266"/>
      <c r="N73" s="267"/>
      <c r="O73" s="268"/>
      <c r="P73" s="62"/>
      <c r="Q73" s="62"/>
      <c r="R73" s="53">
        <v>2</v>
      </c>
      <c r="S73" s="53">
        <f>IF(Q73=" ",R73,AVERAGE(R73,Q73))</f>
        <v>2</v>
      </c>
      <c r="T73" s="53">
        <f>S73/SUM(impStaMig)</f>
        <v>0.33333333333333331</v>
      </c>
      <c r="U73" s="54">
        <f>IF($P73=$F$4,5,IF($P73=$G$4,4,IF($P73=$H$4,3,IF($P73=$I$4,2,IF($P73=$J$4,1,IF($P73=$K$4,0,IF($P73=$M$4,"--",0)))))))</f>
        <v>0</v>
      </c>
      <c r="V73" s="49">
        <f>U73</f>
        <v>0</v>
      </c>
      <c r="W73" s="351"/>
      <c r="X73" s="351"/>
      <c r="Y73" s="351"/>
      <c r="Z73" s="351"/>
      <c r="AA73" s="351"/>
      <c r="AB73" s="351"/>
      <c r="AC73" s="351"/>
      <c r="AD73" s="351"/>
      <c r="AE73" s="352"/>
      <c r="AF73" s="348"/>
    </row>
  </sheetData>
  <dataConsolidate link="1"/>
  <mergeCells count="44">
    <mergeCell ref="AF42:AF64"/>
    <mergeCell ref="AF66:AF73"/>
    <mergeCell ref="AH25:AH28"/>
    <mergeCell ref="W3:W4"/>
    <mergeCell ref="W39:AE40"/>
    <mergeCell ref="W43:AE45"/>
    <mergeCell ref="W47:AE53"/>
    <mergeCell ref="W55:AE60"/>
    <mergeCell ref="W62:AE64"/>
    <mergeCell ref="W71:AE73"/>
    <mergeCell ref="AF6:AF40"/>
    <mergeCell ref="W67:AE68"/>
    <mergeCell ref="A5:AE5"/>
    <mergeCell ref="A65:AE65"/>
    <mergeCell ref="A41:AE41"/>
    <mergeCell ref="A2:D4"/>
    <mergeCell ref="P25:V25"/>
    <mergeCell ref="P29:V29"/>
    <mergeCell ref="E2:E4"/>
    <mergeCell ref="W2:AE2"/>
    <mergeCell ref="AA3:AC3"/>
    <mergeCell ref="F2:V2"/>
    <mergeCell ref="P22:V22"/>
    <mergeCell ref="F3:M3"/>
    <mergeCell ref="R3:U3"/>
    <mergeCell ref="P3:Q3"/>
    <mergeCell ref="P18:V18"/>
    <mergeCell ref="N3:O3"/>
    <mergeCell ref="P70:V70"/>
    <mergeCell ref="W7:AE8"/>
    <mergeCell ref="W10:AE11"/>
    <mergeCell ref="W13:AE17"/>
    <mergeCell ref="W19:AE21"/>
    <mergeCell ref="P38:V38"/>
    <mergeCell ref="P42:V42"/>
    <mergeCell ref="P46:V46"/>
    <mergeCell ref="P54:V54"/>
    <mergeCell ref="P61:V61"/>
    <mergeCell ref="W34:AE37"/>
    <mergeCell ref="P66:V66"/>
    <mergeCell ref="P33:V33"/>
    <mergeCell ref="W23:AE24"/>
    <mergeCell ref="W26:AE28"/>
    <mergeCell ref="W30:AE32"/>
  </mergeCells>
  <conditionalFormatting sqref="AC4 AC6">
    <cfRule type="cellIs" dxfId="59" priority="270" operator="lessThan">
      <formula>3</formula>
    </cfRule>
  </conditionalFormatting>
  <conditionalFormatting sqref="AB4">
    <cfRule type="cellIs" dxfId="58" priority="164" operator="lessThan">
      <formula>3</formula>
    </cfRule>
  </conditionalFormatting>
  <conditionalFormatting sqref="AC70">
    <cfRule type="cellIs" dxfId="57" priority="147" operator="lessThan">
      <formula>3</formula>
    </cfRule>
  </conditionalFormatting>
  <conditionalFormatting sqref="AC9">
    <cfRule type="cellIs" dxfId="56" priority="161" operator="lessThan">
      <formula>3</formula>
    </cfRule>
  </conditionalFormatting>
  <conditionalFormatting sqref="AC18">
    <cfRule type="cellIs" dxfId="55" priority="159" operator="lessThan">
      <formula>3</formula>
    </cfRule>
  </conditionalFormatting>
  <conditionalFormatting sqref="AC22">
    <cfRule type="cellIs" dxfId="54" priority="158" operator="lessThan">
      <formula>3</formula>
    </cfRule>
  </conditionalFormatting>
  <conditionalFormatting sqref="AC25">
    <cfRule type="cellIs" dxfId="53" priority="157" operator="lessThan">
      <formula>3</formula>
    </cfRule>
  </conditionalFormatting>
  <conditionalFormatting sqref="AC29">
    <cfRule type="cellIs" dxfId="52" priority="156" operator="lessThan">
      <formula>3</formula>
    </cfRule>
  </conditionalFormatting>
  <conditionalFormatting sqref="AC33">
    <cfRule type="cellIs" dxfId="51" priority="155" operator="lessThan">
      <formula>3</formula>
    </cfRule>
  </conditionalFormatting>
  <conditionalFormatting sqref="AC38">
    <cfRule type="cellIs" dxfId="50" priority="154" operator="lessThan">
      <formula>3</formula>
    </cfRule>
  </conditionalFormatting>
  <conditionalFormatting sqref="AC42">
    <cfRule type="cellIs" dxfId="49" priority="153" operator="lessThan">
      <formula>3</formula>
    </cfRule>
  </conditionalFormatting>
  <conditionalFormatting sqref="AC46">
    <cfRule type="cellIs" dxfId="48" priority="152" operator="lessThan">
      <formula>3</formula>
    </cfRule>
  </conditionalFormatting>
  <conditionalFormatting sqref="AC54">
    <cfRule type="cellIs" dxfId="47" priority="151" operator="lessThan">
      <formula>3</formula>
    </cfRule>
  </conditionalFormatting>
  <conditionalFormatting sqref="AC61">
    <cfRule type="cellIs" dxfId="46" priority="150" operator="lessThan">
      <formula>3</formula>
    </cfRule>
  </conditionalFormatting>
  <conditionalFormatting sqref="AC66">
    <cfRule type="cellIs" dxfId="45" priority="148" operator="lessThan">
      <formula>3</formula>
    </cfRule>
  </conditionalFormatting>
  <conditionalFormatting sqref="E6:E8">
    <cfRule type="cellIs" dxfId="44" priority="63" operator="greaterThan">
      <formula>0</formula>
    </cfRule>
  </conditionalFormatting>
  <conditionalFormatting sqref="E6">
    <cfRule type="iconSet" priority="61">
      <iconSet iconSet="3Symbols" reverse="1">
        <cfvo type="percent" val="0"/>
        <cfvo type="num" val="1"/>
        <cfvo type="num" val="100"/>
      </iconSet>
    </cfRule>
  </conditionalFormatting>
  <conditionalFormatting sqref="E9">
    <cfRule type="cellIs" dxfId="43" priority="58" operator="greaterThan">
      <formula>0</formula>
    </cfRule>
  </conditionalFormatting>
  <conditionalFormatting sqref="E9">
    <cfRule type="iconSet" priority="57">
      <iconSet iconSet="3Symbols" reverse="1">
        <cfvo type="percent" val="0"/>
        <cfvo type="num" val="1"/>
        <cfvo type="num" val="100"/>
      </iconSet>
    </cfRule>
  </conditionalFormatting>
  <conditionalFormatting sqref="E12">
    <cfRule type="cellIs" dxfId="42" priority="56" operator="greaterThan">
      <formula>0</formula>
    </cfRule>
  </conditionalFormatting>
  <conditionalFormatting sqref="E12">
    <cfRule type="iconSet" priority="55">
      <iconSet iconSet="3Symbols" reverse="1">
        <cfvo type="percent" val="0"/>
        <cfvo type="num" val="1"/>
        <cfvo type="num" val="100"/>
      </iconSet>
    </cfRule>
  </conditionalFormatting>
  <conditionalFormatting sqref="E18">
    <cfRule type="cellIs" dxfId="41" priority="54" operator="greaterThan">
      <formula>0</formula>
    </cfRule>
  </conditionalFormatting>
  <conditionalFormatting sqref="E18">
    <cfRule type="iconSet" priority="53">
      <iconSet iconSet="3Symbols" reverse="1">
        <cfvo type="percent" val="0"/>
        <cfvo type="num" val="1"/>
        <cfvo type="num" val="100"/>
      </iconSet>
    </cfRule>
  </conditionalFormatting>
  <conditionalFormatting sqref="E22">
    <cfRule type="cellIs" dxfId="40" priority="52" operator="greaterThan">
      <formula>0</formula>
    </cfRule>
  </conditionalFormatting>
  <conditionalFormatting sqref="E22">
    <cfRule type="iconSet" priority="51">
      <iconSet iconSet="3Symbols" reverse="1">
        <cfvo type="percent" val="0"/>
        <cfvo type="num" val="1"/>
        <cfvo type="num" val="100"/>
      </iconSet>
    </cfRule>
  </conditionalFormatting>
  <conditionalFormatting sqref="E25">
    <cfRule type="cellIs" dxfId="39" priority="50" operator="greaterThan">
      <formula>0</formula>
    </cfRule>
  </conditionalFormatting>
  <conditionalFormatting sqref="E25">
    <cfRule type="iconSet" priority="49">
      <iconSet iconSet="3Symbols" reverse="1">
        <cfvo type="percent" val="0"/>
        <cfvo type="num" val="1"/>
        <cfvo type="num" val="100"/>
      </iconSet>
    </cfRule>
  </conditionalFormatting>
  <conditionalFormatting sqref="E29">
    <cfRule type="cellIs" dxfId="38" priority="48" operator="greaterThan">
      <formula>0</formula>
    </cfRule>
  </conditionalFormatting>
  <conditionalFormatting sqref="E29">
    <cfRule type="iconSet" priority="47">
      <iconSet iconSet="3Symbols" reverse="1">
        <cfvo type="percent" val="0"/>
        <cfvo type="num" val="1"/>
        <cfvo type="num" val="100"/>
      </iconSet>
    </cfRule>
  </conditionalFormatting>
  <conditionalFormatting sqref="E33">
    <cfRule type="cellIs" dxfId="37" priority="46" operator="greaterThan">
      <formula>0</formula>
    </cfRule>
  </conditionalFormatting>
  <conditionalFormatting sqref="E33">
    <cfRule type="iconSet" priority="45">
      <iconSet iconSet="3Symbols" reverse="1">
        <cfvo type="percent" val="0"/>
        <cfvo type="num" val="1"/>
        <cfvo type="num" val="100"/>
      </iconSet>
    </cfRule>
  </conditionalFormatting>
  <conditionalFormatting sqref="E38">
    <cfRule type="cellIs" dxfId="36" priority="44" operator="greaterThan">
      <formula>0</formula>
    </cfRule>
  </conditionalFormatting>
  <conditionalFormatting sqref="E38">
    <cfRule type="iconSet" priority="43">
      <iconSet iconSet="3Symbols" reverse="1">
        <cfvo type="percent" val="0"/>
        <cfvo type="num" val="1"/>
        <cfvo type="num" val="100"/>
      </iconSet>
    </cfRule>
  </conditionalFormatting>
  <conditionalFormatting sqref="E42">
    <cfRule type="cellIs" dxfId="35" priority="42" operator="greaterThan">
      <formula>0</formula>
    </cfRule>
  </conditionalFormatting>
  <conditionalFormatting sqref="E42">
    <cfRule type="iconSet" priority="41">
      <iconSet iconSet="3Symbols" reverse="1">
        <cfvo type="percent" val="0"/>
        <cfvo type="num" val="1"/>
        <cfvo type="num" val="100"/>
      </iconSet>
    </cfRule>
  </conditionalFormatting>
  <conditionalFormatting sqref="E46">
    <cfRule type="cellIs" dxfId="34" priority="40" operator="greaterThan">
      <formula>0</formula>
    </cfRule>
  </conditionalFormatting>
  <conditionalFormatting sqref="E46">
    <cfRule type="iconSet" priority="39">
      <iconSet iconSet="3Symbols" reverse="1">
        <cfvo type="percent" val="0"/>
        <cfvo type="num" val="1"/>
        <cfvo type="num" val="100"/>
      </iconSet>
    </cfRule>
  </conditionalFormatting>
  <conditionalFormatting sqref="E54">
    <cfRule type="cellIs" dxfId="33" priority="38" operator="greaterThan">
      <formula>0</formula>
    </cfRule>
  </conditionalFormatting>
  <conditionalFormatting sqref="E54">
    <cfRule type="iconSet" priority="37">
      <iconSet iconSet="3Symbols" reverse="1">
        <cfvo type="percent" val="0"/>
        <cfvo type="num" val="1"/>
        <cfvo type="num" val="100"/>
      </iconSet>
    </cfRule>
  </conditionalFormatting>
  <conditionalFormatting sqref="E61">
    <cfRule type="cellIs" dxfId="32" priority="36" operator="greaterThan">
      <formula>0</formula>
    </cfRule>
  </conditionalFormatting>
  <conditionalFormatting sqref="E61">
    <cfRule type="iconSet" priority="35">
      <iconSet iconSet="3Symbols" reverse="1">
        <cfvo type="percent" val="0"/>
        <cfvo type="num" val="1"/>
        <cfvo type="num" val="100"/>
      </iconSet>
    </cfRule>
  </conditionalFormatting>
  <conditionalFormatting sqref="E66">
    <cfRule type="cellIs" dxfId="31" priority="32" operator="greaterThan">
      <formula>0</formula>
    </cfRule>
  </conditionalFormatting>
  <conditionalFormatting sqref="E66">
    <cfRule type="iconSet" priority="31">
      <iconSet iconSet="3Symbols" reverse="1">
        <cfvo type="percent" val="0"/>
        <cfvo type="num" val="1"/>
        <cfvo type="num" val="100"/>
      </iconSet>
    </cfRule>
  </conditionalFormatting>
  <conditionalFormatting sqref="E70">
    <cfRule type="cellIs" dxfId="30" priority="30" operator="greaterThan">
      <formula>0</formula>
    </cfRule>
  </conditionalFormatting>
  <conditionalFormatting sqref="E70">
    <cfRule type="iconSet" priority="29">
      <iconSet iconSet="3Symbols" reverse="1">
        <cfvo type="percent" val="0"/>
        <cfvo type="num" val="1"/>
        <cfvo type="num" val="100"/>
      </iconSet>
    </cfRule>
  </conditionalFormatting>
  <conditionalFormatting sqref="W18">
    <cfRule type="cellIs" dxfId="29" priority="28" operator="greaterThan">
      <formula>3</formula>
    </cfRule>
  </conditionalFormatting>
  <conditionalFormatting sqref="AA4">
    <cfRule type="cellIs" dxfId="28" priority="26" operator="lessThan">
      <formula>3</formula>
    </cfRule>
  </conditionalFormatting>
  <conditionalFormatting sqref="Z4">
    <cfRule type="cellIs" dxfId="27" priority="17" operator="lessThan">
      <formula>3</formula>
    </cfRule>
  </conditionalFormatting>
  <conditionalFormatting sqref="Y4">
    <cfRule type="cellIs" dxfId="26" priority="16" operator="lessThan">
      <formula>3</formula>
    </cfRule>
  </conditionalFormatting>
  <conditionalFormatting sqref="AC12">
    <cfRule type="cellIs" dxfId="25" priority="2" operator="lessThan">
      <formula>3</formula>
    </cfRule>
  </conditionalFormatting>
  <conditionalFormatting sqref="N4:O4">
    <cfRule type="cellIs" dxfId="24" priority="1" operator="equal">
      <formula>#REF!</formula>
    </cfRule>
  </conditionalFormatting>
  <dataValidations xWindow="746" yWindow="395" count="10">
    <dataValidation type="whole" allowBlank="1" showInputMessage="1" showErrorMessage="1" errorTitle="Importance value" error="Please write a number between 1 and 3." sqref="R7:R8 R10:R11 R43:R45 R23:R24 R30:R32 R34:R37 R39:R40 R47:R53 R67:R69 R13:R17 R26:R28 R19:R21 R55:R60 R62:R64 R71:R73" xr:uid="{00000000-0002-0000-0200-000002000000}">
      <formula1>1</formula1>
      <formula2>3</formula2>
    </dataValidation>
    <dataValidation type="whole" allowBlank="1" showInputMessage="1" showErrorMessage="1" errorTitle="Importance value" error="Please write a number between 0 and 3." prompt="0. Not applies_x000a_1. Desirable_x000a_2. Important_x000a_3. Very important" sqref="Q21" xr:uid="{00000000-0002-0000-0200-000003000000}">
      <formula1>0</formula1>
      <formula2>3</formula2>
    </dataValidation>
    <dataValidation type="whole" allowBlank="1" showInputMessage="1" showErrorMessage="1" errorTitle="Importance value" error="Please write a number between 0 and 3." prompt="Leave blank if you don't want to customize this value_x000a_0. Not applies_x000a_1. Desirable_x000a_2. Important_x000a_3. Very important" sqref="Q7:Q8 Q10:Q11 Q19:Q20 Q23:Q24 Q30:Q32 Q34:Q37 Q39:Q40 Q43:Q45 Q47:Q53 Q67:Q69 Q13:Q17 Q26:Q28 Q55:Q60 Q62:Q64 Q71:Q73" xr:uid="{00000000-0002-0000-0200-000004000000}">
      <formula1>0</formula1>
      <formula2>3</formula2>
    </dataValidation>
    <dataValidation allowBlank="1" showInputMessage="1" showErrorMessage="1" prompt="There are pending statements, please check" sqref="AC6" xr:uid="{00000000-0002-0000-0200-000005000000}"/>
    <dataValidation allowBlank="1" showInputMessage="1" showErrorMessage="1" prompt="Number of statements to answer" sqref="E6" xr:uid="{00000000-0002-0000-0200-000006000000}"/>
    <dataValidation allowBlank="1" showInputMessage="1" showErrorMessage="1" errorTitle="Importance value" error="Please write a number between 0 and 3." sqref="Y6 Y70 Y9 Y18 Y22 Y25 Y29 Y33 Y38 Y42 Y46 Y54 Y61 Y66 Y12" xr:uid="{00000000-0002-0000-0200-000007000000}"/>
    <dataValidation type="whole" allowBlank="1" showInputMessage="1" showErrorMessage="1" errorTitle="Importance value" error="Please write a number between 0 and 3." sqref="Y6 Y12 Y18 Y22 Y25" xr:uid="{00000000-0002-0000-0200-000008000000}">
      <formula1>0</formula1>
      <formula2>3</formula2>
    </dataValidation>
    <dataValidation type="whole" allowBlank="1" showInputMessage="1" showErrorMessage="1" errorTitle="Importance value" error="Please write a number between 0 and 3." prompt="Leave blank if you don't want to customize this value. Otherwise:_x000a_0. Not apply_x000a_1. Desirable_x000a_2. Important_x000a_3. Very important" sqref="X6 X9 X12 X18 X22 X25 X29 X33 X38 X42 X46 X54 X61 X66 X70" xr:uid="{00000000-0002-0000-0200-000009000000}">
      <formula1>0</formula1>
      <formula2>3</formula2>
    </dataValidation>
    <dataValidation allowBlank="1" showInputMessage="1" showErrorMessage="1" prompt="Number of subcriteria to evaluate" sqref="E38 E42 E46 E54 E61 E66 E70 E9 E12 E18 E22 E25 E29 E33" xr:uid="{00000000-0002-0000-0200-00000A000000}"/>
    <dataValidation type="list" allowBlank="1" showInputMessage="1" showErrorMessage="1" sqref="P43:P45 P67:P69 P30:P32 P26:P28 P23:P24 P19:P21 P55:P60 P10:P11 P71:P73 P7:P8 P62:P64 P39:P40 P34:P37 P13:P17 P47:P53" xr:uid="{00000000-0002-0000-0200-000000000000}">
      <formula1>$F$4:$M$4</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222" operator="equal" id="{82B7F860-1BF6-4A83-9C48-D9C7DDC6F8D2}">
            <xm:f>'\Users\lufe0\Google Drive\Doctorate_Luisa\APPLIES\Expert review\[Survey.xlsx]Sources of data'!#REF!</xm:f>
            <x14:dxf>
              <font>
                <color rgb="FFC00000"/>
              </font>
            </x14:dxf>
          </x14:cfRule>
          <xm:sqref>B7:C7</xm:sqref>
        </x14:conditionalFormatting>
        <x14:conditionalFormatting xmlns:xm="http://schemas.microsoft.com/office/excel/2006/main">
          <x14:cfRule type="cellIs" priority="69" operator="equal" id="{0B7A1F39-F4B4-4528-9321-92B4F12D5108}">
            <xm:f>'\Users\lufe0\Google Drive\Doctorate_Luisa\APPLIES\Expert review\[Survey.xlsx]Sources of data'!#REF!</xm:f>
            <x14:dxf>
              <font>
                <color rgb="FFC00000"/>
              </font>
            </x14:dxf>
          </x14:cfRule>
          <xm:sqref>B8:C8</xm:sqref>
        </x14:conditionalFormatting>
        <x14:conditionalFormatting xmlns:xm="http://schemas.microsoft.com/office/excel/2006/main">
          <x14:cfRule type="cellIs" priority="67" operator="equal" id="{3290E10C-CE19-443F-822C-46CADF8E9D04}">
            <xm:f>'\Users\lufe0\Google Drive\Doctorate_Luisa\APPLIES\Expert review\[Survey.xlsx]Sources of data'!#REF!</xm:f>
            <x14:dxf>
              <font>
                <color rgb="FFC00000"/>
              </font>
            </x14:dxf>
          </x14:cfRule>
          <xm:sqref>B10:C11</xm:sqref>
        </x14:conditionalFormatting>
        <x14:conditionalFormatting xmlns:xm="http://schemas.microsoft.com/office/excel/2006/main">
          <x14:cfRule type="cellIs" priority="66" operator="equal" id="{2F71A9D5-59F9-4029-A88A-8FF10595797D}">
            <xm:f>'\Users\lufe0\Google Drive\Doctorate_Luisa\APPLIES\Expert review\[Survey.xlsx]Sources of data'!#REF!</xm:f>
            <x14:dxf>
              <font>
                <color rgb="FFC00000"/>
              </font>
            </x14:dxf>
          </x14:cfRule>
          <xm:sqref>B13:C15</xm:sqref>
        </x14:conditionalFormatting>
        <x14:conditionalFormatting xmlns:xm="http://schemas.microsoft.com/office/excel/2006/main">
          <x14:cfRule type="cellIs" priority="65" operator="equal" id="{01CEE719-65BD-450B-BB28-2769B6C6A746}">
            <xm:f>'\Users\lufe0\Google Drive\Doctorate_Luisa\APPLIES\Expert review\[Survey.xlsx]Sources of data'!#REF!</xm:f>
            <x14:dxf>
              <font>
                <color rgb="FFC00000"/>
              </font>
            </x14:dxf>
          </x14:cfRule>
          <xm:sqref>B16:C17 AH25:AH28 B26:C28 B19:C21 B55:C60 B62:C64</xm:sqref>
        </x14:conditionalFormatting>
        <x14:conditionalFormatting xmlns:xm="http://schemas.microsoft.com/office/excel/2006/main">
          <x14:cfRule type="cellIs" priority="24" operator="equal" id="{24B5129D-E1C0-4C0F-8B81-56A1C4B85ACA}">
            <xm:f>'\Users\lufe0\Google Drive\Doctorate_Luisa\APPLIES\Expert review\[Survey.xlsx]Sources of data'!#REF!</xm:f>
            <x14:dxf>
              <font>
                <color rgb="FFC00000"/>
              </font>
            </x14:dxf>
          </x14:cfRule>
          <xm:sqref>B23:C24 B72:C73</xm:sqref>
        </x14:conditionalFormatting>
        <x14:conditionalFormatting xmlns:xm="http://schemas.microsoft.com/office/excel/2006/main">
          <x14:cfRule type="cellIs" priority="20" operator="equal" id="{6C283A3C-4B22-4E6F-B7F4-A3885901C254}">
            <xm:f>'\Users\lufe0\Google Drive\Doctorate_Luisa\APPLIES\Expert review\[Survey.xlsx]Sources of data'!#REF!</xm:f>
            <x14:dxf>
              <font>
                <color rgb="FFC00000"/>
              </font>
            </x14:dxf>
          </x14:cfRule>
          <xm:sqref>C6</xm:sqref>
        </x14:conditionalFormatting>
        <x14:conditionalFormatting xmlns:xm="http://schemas.microsoft.com/office/excel/2006/main">
          <x14:cfRule type="cellIs" priority="15" operator="equal" id="{1D3F349B-78EF-486B-A25A-B251B047D7DF}">
            <xm:f>'\Users\lufe0\Google Drive\Doctorate_Luisa\APPLIES\Expert review\[Survey.xlsx]Sources of data'!#REF!</xm:f>
            <x14:dxf>
              <font>
                <color rgb="FFC00000"/>
              </font>
            </x14:dxf>
          </x14:cfRule>
          <xm:sqref>B30:C32</xm:sqref>
        </x14:conditionalFormatting>
        <x14:conditionalFormatting xmlns:xm="http://schemas.microsoft.com/office/excel/2006/main">
          <x14:cfRule type="cellIs" priority="14" operator="equal" id="{9E78423A-EFA3-42A4-8563-D0BB354336D7}">
            <xm:f>'\Users\lufe0\Google Drive\Doctorate_Luisa\APPLIES\Expert review\[Survey.xlsx]Sources of data'!#REF!</xm:f>
            <x14:dxf>
              <font>
                <color rgb="FFC00000"/>
              </font>
            </x14:dxf>
          </x14:cfRule>
          <xm:sqref>B34:C37</xm:sqref>
        </x14:conditionalFormatting>
        <x14:conditionalFormatting xmlns:xm="http://schemas.microsoft.com/office/excel/2006/main">
          <x14:cfRule type="cellIs" priority="13" operator="equal" id="{ABAE5506-12B1-4462-B990-7879D4BE7142}">
            <xm:f>'\Users\lufe0\Google Drive\Doctorate_Luisa\APPLIES\Expert review\[Survey.xlsx]Sources of data'!#REF!</xm:f>
            <x14:dxf>
              <font>
                <color rgb="FFC00000"/>
              </font>
            </x14:dxf>
          </x14:cfRule>
          <xm:sqref>B39:C40</xm:sqref>
        </x14:conditionalFormatting>
        <x14:conditionalFormatting xmlns:xm="http://schemas.microsoft.com/office/excel/2006/main">
          <x14:cfRule type="cellIs" priority="12" operator="equal" id="{45D2B65A-7EBC-4816-BE74-6A8B4D19F44E}">
            <xm:f>'\Users\lufe0\Google Drive\Doctorate_Luisa\APPLIES\Expert review\[Survey.xlsx]Sources of data'!#REF!</xm:f>
            <x14:dxf>
              <font>
                <color rgb="FFC00000"/>
              </font>
            </x14:dxf>
          </x14:cfRule>
          <xm:sqref>B43:C45</xm:sqref>
        </x14:conditionalFormatting>
        <x14:conditionalFormatting xmlns:xm="http://schemas.microsoft.com/office/excel/2006/main">
          <x14:cfRule type="cellIs" priority="11" operator="equal" id="{31677B5A-4885-4108-9463-6078D1C7EB87}">
            <xm:f>'\Users\lufe0\Google Drive\Doctorate_Luisa\APPLIES\Expert review\[Survey.xlsx]Sources of data'!#REF!</xm:f>
            <x14:dxf>
              <font>
                <color rgb="FFC00000"/>
              </font>
            </x14:dxf>
          </x14:cfRule>
          <xm:sqref>B47:C53</xm:sqref>
        </x14:conditionalFormatting>
        <x14:conditionalFormatting xmlns:xm="http://schemas.microsoft.com/office/excel/2006/main">
          <x14:cfRule type="cellIs" priority="7" operator="equal" id="{3B70FECB-B322-4C2D-BACC-1CF1829E72B9}">
            <xm:f>'\Users\lufe0\Google Drive\Doctorate_Luisa\APPLIES\Expert review\[Survey.xlsx]Sources of data'!#REF!</xm:f>
            <x14:dxf>
              <font>
                <color rgb="FFC00000"/>
              </font>
            </x14:dxf>
          </x14:cfRule>
          <xm:sqref>B67:C69</xm:sqref>
        </x14:conditionalFormatting>
        <x14:conditionalFormatting xmlns:xm="http://schemas.microsoft.com/office/excel/2006/main">
          <x14:cfRule type="cellIs" priority="6" operator="equal" id="{E55511C9-942A-4669-AED1-7CD6E53DB8C1}">
            <xm:f>'\Users\lufe0\Google Drive\Doctorate_Luisa\APPLIES\Expert review\[Survey.xlsx]Sources of data'!#REF!</xm:f>
            <x14:dxf>
              <font>
                <color rgb="FFC00000"/>
              </font>
            </x14:dxf>
          </x14:cfRule>
          <xm:sqref>B71:C71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Q59"/>
  <sheetViews>
    <sheetView topLeftCell="W6" zoomScale="85" zoomScaleNormal="85" workbookViewId="0">
      <selection activeCell="AF28" sqref="AF28"/>
    </sheetView>
  </sheetViews>
  <sheetFormatPr baseColWidth="10" defaultRowHeight="15" x14ac:dyDescent="0.25"/>
  <cols>
    <col min="1" max="2" width="11.42578125" style="67"/>
    <col min="3" max="3" width="11.42578125" style="67" customWidth="1"/>
    <col min="4" max="5" width="11.42578125" style="67"/>
    <col min="6" max="6" width="12.5703125" style="67" customWidth="1"/>
    <col min="7" max="7" width="11.42578125" style="67"/>
    <col min="8" max="8" width="11" style="67" customWidth="1"/>
    <col min="9" max="9" width="20.85546875" style="67" customWidth="1"/>
    <col min="10" max="10" width="16.7109375" style="67" customWidth="1"/>
    <col min="11" max="11" width="11.42578125" style="67"/>
    <col min="12" max="12" width="14.85546875" style="67" customWidth="1"/>
    <col min="13" max="25" width="11.42578125" style="67"/>
    <col min="26" max="26" width="11.42578125" style="220"/>
    <col min="27" max="27" width="15.140625" style="236" customWidth="1"/>
    <col min="28" max="28" width="21.85546875" style="236" customWidth="1"/>
    <col min="29" max="30" width="11.42578125" style="236"/>
    <col min="31" max="31" width="11.42578125" style="310"/>
    <col min="32" max="34" width="11.42578125" style="245"/>
    <col min="35" max="35" width="11.42578125" style="310"/>
    <col min="36" max="36" width="17.7109375" style="236" customWidth="1"/>
    <col min="37" max="37" width="17.85546875" style="237" bestFit="1" customWidth="1"/>
    <col min="38" max="39" width="11.42578125" style="237"/>
    <col min="40" max="16384" width="11.42578125" style="67"/>
  </cols>
  <sheetData>
    <row r="1" spans="1:43" ht="21" x14ac:dyDescent="0.35">
      <c r="L1" s="157"/>
    </row>
    <row r="2" spans="1:43" ht="23.25" customHeight="1" x14ac:dyDescent="0.35">
      <c r="L2" s="222"/>
      <c r="Z2" s="223"/>
      <c r="AN2" s="224"/>
    </row>
    <row r="3" spans="1:43" ht="21" x14ac:dyDescent="0.35">
      <c r="L3" s="222"/>
      <c r="Z3" s="223"/>
      <c r="AN3" s="224"/>
    </row>
    <row r="4" spans="1:43" ht="21" x14ac:dyDescent="0.35">
      <c r="L4" s="222"/>
      <c r="Z4" s="223"/>
      <c r="AN4" s="224"/>
    </row>
    <row r="5" spans="1:43" x14ac:dyDescent="0.25">
      <c r="Z5" s="223"/>
      <c r="AN5" s="224"/>
    </row>
    <row r="6" spans="1:43" x14ac:dyDescent="0.25">
      <c r="Z6" s="223"/>
      <c r="AN6" s="224"/>
    </row>
    <row r="7" spans="1:43" ht="15" customHeight="1" x14ac:dyDescent="0.25">
      <c r="A7" s="4"/>
      <c r="B7" s="4"/>
      <c r="C7" s="4"/>
      <c r="D7" s="359" t="str">
        <f>Data!C2</f>
        <v xml:space="preserve"> -- Preparation grid</v>
      </c>
      <c r="E7" s="359"/>
      <c r="F7" s="359"/>
      <c r="G7" s="359"/>
      <c r="H7" s="359"/>
      <c r="I7" s="359"/>
      <c r="J7" s="4"/>
      <c r="K7" s="4"/>
      <c r="L7" s="4" t="s">
        <v>247</v>
      </c>
      <c r="M7" s="4"/>
      <c r="N7" s="4"/>
      <c r="Z7" s="223"/>
      <c r="AN7" s="224"/>
    </row>
    <row r="8" spans="1:43" ht="29.25" customHeight="1" x14ac:dyDescent="0.35">
      <c r="A8" s="4"/>
      <c r="B8" s="4"/>
      <c r="C8" s="4"/>
      <c r="D8" s="359"/>
      <c r="E8" s="359"/>
      <c r="F8" s="359"/>
      <c r="G8" s="359"/>
      <c r="H8" s="359"/>
      <c r="I8" s="359"/>
      <c r="J8" s="4"/>
      <c r="K8" s="4"/>
      <c r="L8" s="4"/>
      <c r="M8" s="4"/>
      <c r="N8" s="4"/>
      <c r="Z8" s="225" t="s">
        <v>248</v>
      </c>
      <c r="AA8" s="238"/>
      <c r="AB8" s="239"/>
      <c r="AC8" s="239"/>
      <c r="AD8" s="239"/>
      <c r="AE8" s="238"/>
      <c r="AF8" s="312"/>
      <c r="AG8" s="312"/>
      <c r="AN8" s="224"/>
    </row>
    <row r="9" spans="1:43" ht="30" x14ac:dyDescent="0.25">
      <c r="A9" s="4"/>
      <c r="B9" s="4"/>
      <c r="C9" s="4"/>
      <c r="D9" s="4"/>
      <c r="E9" s="4"/>
      <c r="F9" s="4"/>
      <c r="G9" s="4"/>
      <c r="H9" s="4"/>
      <c r="I9" s="4"/>
      <c r="J9" s="4"/>
      <c r="K9" s="4"/>
      <c r="L9" s="4"/>
      <c r="M9" s="4"/>
      <c r="N9" s="4"/>
      <c r="Z9" s="226" t="s">
        <v>244</v>
      </c>
      <c r="AA9" s="240" t="s">
        <v>259</v>
      </c>
      <c r="AB9" s="240" t="s">
        <v>103</v>
      </c>
      <c r="AC9" s="241" t="s">
        <v>258</v>
      </c>
      <c r="AD9" s="240" t="s">
        <v>31</v>
      </c>
      <c r="AE9" s="240" t="s">
        <v>31</v>
      </c>
      <c r="AF9" s="241" t="s">
        <v>265</v>
      </c>
      <c r="AG9" s="241" t="s">
        <v>419</v>
      </c>
      <c r="AH9" s="245" t="s">
        <v>355</v>
      </c>
      <c r="AI9" s="313" t="s">
        <v>354</v>
      </c>
      <c r="AJ9" s="242" t="s">
        <v>353</v>
      </c>
      <c r="AL9" s="237" t="s">
        <v>354</v>
      </c>
      <c r="AN9" s="224"/>
      <c r="AO9" s="249"/>
      <c r="AP9" s="249"/>
      <c r="AQ9" s="250"/>
    </row>
    <row r="10" spans="1:43" x14ac:dyDescent="0.25">
      <c r="A10" s="4"/>
      <c r="B10" s="4"/>
      <c r="C10" s="4"/>
      <c r="D10" s="4"/>
      <c r="E10" s="4"/>
      <c r="F10" s="4"/>
      <c r="G10" s="4"/>
      <c r="H10" s="4"/>
      <c r="I10" s="4"/>
      <c r="J10" s="4"/>
      <c r="K10" s="4"/>
      <c r="L10" s="4"/>
      <c r="M10" s="4"/>
      <c r="N10" s="4"/>
      <c r="Z10" s="227" t="str">
        <f>'APPLIES-preparation'!A70</f>
        <v>Internal</v>
      </c>
      <c r="AA10" s="243" t="str">
        <f>'APPLIES-preparation'!B66</f>
        <v>Economic</v>
      </c>
      <c r="AB10" s="243" t="str">
        <f>'APPLIES-preparation'!D66</f>
        <v>Readiness to do investments</v>
      </c>
      <c r="AC10" s="236" t="str">
        <f>'APPLIES-preparation'!AA66</f>
        <v>Important</v>
      </c>
      <c r="AD10" s="244">
        <f>'APPLIES-preparation'!AC66</f>
        <v>0</v>
      </c>
      <c r="AE10" s="244">
        <f>IF(AD10="N/A","--",AD10)</f>
        <v>0</v>
      </c>
      <c r="AF10" s="245">
        <f>'APPLIES-preparation'!Z66</f>
        <v>2</v>
      </c>
      <c r="AG10" s="245">
        <f>IF(AD10="N/A","--",AF10)</f>
        <v>2</v>
      </c>
      <c r="AH10" s="244">
        <f>IF(AD10="N/A","--",(AD10*AG10)/$AG$25)</f>
        <v>0</v>
      </c>
      <c r="AI10" s="311">
        <f>IF(AD10="N/A","--",AE10*AG10/$AK$10)</f>
        <v>0</v>
      </c>
      <c r="AJ10" s="236" t="s">
        <v>261</v>
      </c>
      <c r="AK10" s="237">
        <f>SUM(AG10:AG11)</f>
        <v>3</v>
      </c>
      <c r="AL10" s="246">
        <f>SUM(AI10:AI11)</f>
        <v>0</v>
      </c>
      <c r="AN10" s="224"/>
      <c r="AO10" s="248"/>
      <c r="AP10" s="248"/>
      <c r="AQ10" s="248"/>
    </row>
    <row r="11" spans="1:43" x14ac:dyDescent="0.25">
      <c r="A11" s="4"/>
      <c r="B11" s="4"/>
      <c r="C11" s="4"/>
      <c r="D11" s="4"/>
      <c r="E11" s="4"/>
      <c r="F11" s="4"/>
      <c r="G11" s="4"/>
      <c r="H11" s="4"/>
      <c r="I11" s="4"/>
      <c r="J11" s="4"/>
      <c r="K11" s="4"/>
      <c r="L11" s="4"/>
      <c r="M11" s="4"/>
      <c r="N11" s="4"/>
      <c r="Z11" s="227" t="str">
        <f>'APPLIES-preparation'!A66</f>
        <v>Internal</v>
      </c>
      <c r="AA11" s="243" t="str">
        <f>'APPLIES-preparation'!B70</f>
        <v>Economic</v>
      </c>
      <c r="AB11" s="243" t="str">
        <f>'APPLIES-preparation'!D70</f>
        <v>Readiness to pay migration costs</v>
      </c>
      <c r="AC11" s="236" t="str">
        <f>'APPLIES-preparation'!AA70</f>
        <v>Desirable</v>
      </c>
      <c r="AD11" s="244">
        <f>'APPLIES-preparation'!AC70</f>
        <v>0</v>
      </c>
      <c r="AE11" s="244">
        <f t="shared" ref="AE11:AE24" si="0">IF(AD11="N/A","--",AD11)</f>
        <v>0</v>
      </c>
      <c r="AF11" s="245">
        <f>'APPLIES-preparation'!Z70</f>
        <v>1</v>
      </c>
      <c r="AG11" s="245">
        <f t="shared" ref="AG11:AG24" si="1">IF(AD11="N/A","--",AF11)</f>
        <v>1</v>
      </c>
      <c r="AH11" s="244">
        <f t="shared" ref="AH11:AH24" si="2">IF(AD11="N/A","--",(AD11*AG11)/$AG$25)</f>
        <v>0</v>
      </c>
      <c r="AI11" s="311">
        <f t="shared" ref="AI11" si="3">IF(AD11="N/A","--",AE11*AG11/$AK$10)</f>
        <v>0</v>
      </c>
      <c r="AJ11" s="236" t="s">
        <v>260</v>
      </c>
      <c r="AK11" s="237">
        <f>SUM(AG12:AG20)</f>
        <v>25</v>
      </c>
      <c r="AL11" s="246">
        <f>SUM(AI12:AI20)</f>
        <v>0</v>
      </c>
      <c r="AN11" s="224"/>
      <c r="AO11" s="248"/>
      <c r="AP11" s="248"/>
      <c r="AQ11" s="248"/>
    </row>
    <row r="12" spans="1:43" x14ac:dyDescent="0.25">
      <c r="A12" s="4"/>
      <c r="B12" s="4"/>
      <c r="C12" s="4"/>
      <c r="D12" s="4"/>
      <c r="E12" s="4"/>
      <c r="F12" s="4"/>
      <c r="G12" s="4"/>
      <c r="H12" s="4"/>
      <c r="I12" s="4"/>
      <c r="J12" s="4"/>
      <c r="K12" s="4"/>
      <c r="L12" s="4"/>
      <c r="M12" s="4"/>
      <c r="N12" s="4"/>
      <c r="Z12" s="227" t="str">
        <f>'APPLIES-preparation'!A70</f>
        <v>Internal</v>
      </c>
      <c r="AA12" s="243" t="str">
        <f>'APPLIES-preparation'!B22</f>
        <v>Operational</v>
      </c>
      <c r="AB12" s="243" t="str">
        <f>'APPLIES-preparation'!D22</f>
        <v>Openness</v>
      </c>
      <c r="AC12" s="236" t="str">
        <f>'APPLIES-preparation'!AA22</f>
        <v>Very important</v>
      </c>
      <c r="AD12" s="244">
        <f>'APPLIES-preparation'!AC22</f>
        <v>0</v>
      </c>
      <c r="AE12" s="244">
        <f t="shared" si="0"/>
        <v>0</v>
      </c>
      <c r="AF12" s="245">
        <f>'APPLIES-preparation'!Z22</f>
        <v>3</v>
      </c>
      <c r="AG12" s="245">
        <f t="shared" si="1"/>
        <v>3</v>
      </c>
      <c r="AH12" s="244">
        <f t="shared" si="2"/>
        <v>0</v>
      </c>
      <c r="AI12" s="311">
        <f>IF(AD12="N/A","--",AE12*AG12/$AK$11)</f>
        <v>0</v>
      </c>
      <c r="AJ12" s="236" t="s">
        <v>96</v>
      </c>
      <c r="AK12" s="237">
        <f>SUM(AG21:AG24)</f>
        <v>11</v>
      </c>
      <c r="AL12" s="246">
        <f>SUM(AI21:AI24)</f>
        <v>0</v>
      </c>
      <c r="AN12" s="224"/>
      <c r="AO12" s="248"/>
      <c r="AP12" s="248"/>
      <c r="AQ12" s="248"/>
    </row>
    <row r="13" spans="1:43" x14ac:dyDescent="0.25">
      <c r="A13" s="4"/>
      <c r="B13" s="4"/>
      <c r="C13" s="4"/>
      <c r="D13" s="4"/>
      <c r="E13" s="4"/>
      <c r="F13" s="4"/>
      <c r="G13" s="4"/>
      <c r="H13" s="4"/>
      <c r="I13" s="4"/>
      <c r="J13" s="4"/>
      <c r="K13" s="4"/>
      <c r="L13" s="4"/>
      <c r="M13" s="4"/>
      <c r="N13" s="4"/>
      <c r="Z13" s="227" t="str">
        <f>'APPLIES-preparation'!A25</f>
        <v>Internal</v>
      </c>
      <c r="AA13" s="243" t="str">
        <f>'APPLIES-preparation'!B12</f>
        <v>Operational</v>
      </c>
      <c r="AB13" s="243" t="str">
        <f>'APPLIES-preparation'!D12</f>
        <v>Domain knowledge</v>
      </c>
      <c r="AC13" s="236" t="str">
        <f>'APPLIES-preparation'!AA12</f>
        <v>Very important</v>
      </c>
      <c r="AD13" s="244">
        <f>'APPLIES-preparation'!AC12</f>
        <v>0</v>
      </c>
      <c r="AE13" s="244">
        <f t="shared" si="0"/>
        <v>0</v>
      </c>
      <c r="AF13" s="245">
        <f>'APPLIES-preparation'!Z12</f>
        <v>3</v>
      </c>
      <c r="AG13" s="245">
        <f t="shared" si="1"/>
        <v>3</v>
      </c>
      <c r="AH13" s="244">
        <f t="shared" si="2"/>
        <v>0</v>
      </c>
      <c r="AI13" s="311">
        <f t="shared" ref="AI13:AI20" si="4">IF(AD13="N/A","--",AE13*AG13/$AK$11)</f>
        <v>0</v>
      </c>
      <c r="AN13" s="224"/>
      <c r="AO13" s="248"/>
      <c r="AP13" s="248"/>
      <c r="AQ13" s="248"/>
    </row>
    <row r="14" spans="1:43" x14ac:dyDescent="0.25">
      <c r="A14" s="4"/>
      <c r="B14" s="4"/>
      <c r="C14" s="4"/>
      <c r="D14" s="4"/>
      <c r="E14" s="4"/>
      <c r="F14" s="4"/>
      <c r="G14" s="4"/>
      <c r="H14" s="4"/>
      <c r="I14" s="4"/>
      <c r="J14" s="4"/>
      <c r="K14" s="4"/>
      <c r="L14" s="4"/>
      <c r="M14" s="4"/>
      <c r="N14" s="4"/>
      <c r="Z14" s="227" t="str">
        <f>'APPLIES-preparation'!A18</f>
        <v>External</v>
      </c>
      <c r="AA14" s="243" t="str">
        <f>'APPLIES-preparation'!B33</f>
        <v>Operational</v>
      </c>
      <c r="AB14" s="243" t="str">
        <f>'APPLIES-preparation'!D33</f>
        <v>Process discipline</v>
      </c>
      <c r="AC14" s="236" t="str">
        <f>'APPLIES-preparation'!AA33</f>
        <v>Very important</v>
      </c>
      <c r="AD14" s="244">
        <f>'APPLIES-preparation'!AC33</f>
        <v>0</v>
      </c>
      <c r="AE14" s="244">
        <f t="shared" si="0"/>
        <v>0</v>
      </c>
      <c r="AF14" s="245">
        <f>'APPLIES-preparation'!Z33</f>
        <v>3</v>
      </c>
      <c r="AG14" s="245">
        <f t="shared" si="1"/>
        <v>3</v>
      </c>
      <c r="AH14" s="244">
        <f t="shared" si="2"/>
        <v>0</v>
      </c>
      <c r="AI14" s="311">
        <f t="shared" si="4"/>
        <v>0</v>
      </c>
      <c r="AN14" s="224"/>
      <c r="AO14" s="248"/>
      <c r="AP14" s="248"/>
      <c r="AQ14" s="248"/>
    </row>
    <row r="15" spans="1:43" x14ac:dyDescent="0.25">
      <c r="A15" s="4"/>
      <c r="B15" s="4"/>
      <c r="C15" s="4"/>
      <c r="D15" s="4"/>
      <c r="E15" s="4"/>
      <c r="F15" s="4"/>
      <c r="G15" s="4"/>
      <c r="H15" s="4"/>
      <c r="I15" s="4"/>
      <c r="J15" s="4"/>
      <c r="K15" s="4"/>
      <c r="L15" s="4"/>
      <c r="M15" s="4"/>
      <c r="N15" s="4"/>
      <c r="Z15" s="227" t="str">
        <f>'APPLIES-preparation'!A38</f>
        <v>Internal</v>
      </c>
      <c r="AA15" s="243" t="str">
        <f>'APPLIES-preparation'!B6</f>
        <v>Operational</v>
      </c>
      <c r="AB15" s="243" t="str">
        <f>'APPLIES-preparation'!D6</f>
        <v>Commitment of key actors</v>
      </c>
      <c r="AC15" s="236" t="str">
        <f>'APPLIES-preparation'!AA6</f>
        <v>Very important</v>
      </c>
      <c r="AD15" s="244">
        <f>'APPLIES-preparation'!AC6</f>
        <v>0</v>
      </c>
      <c r="AE15" s="244">
        <f t="shared" si="0"/>
        <v>0</v>
      </c>
      <c r="AF15" s="245">
        <f>'APPLIES-preparation'!Z6</f>
        <v>3</v>
      </c>
      <c r="AG15" s="245">
        <f t="shared" si="1"/>
        <v>3</v>
      </c>
      <c r="AH15" s="244">
        <f t="shared" si="2"/>
        <v>0</v>
      </c>
      <c r="AI15" s="311">
        <f t="shared" si="4"/>
        <v>0</v>
      </c>
      <c r="AN15" s="224"/>
      <c r="AO15" s="248"/>
      <c r="AP15" s="248"/>
      <c r="AQ15" s="248"/>
    </row>
    <row r="16" spans="1:43" x14ac:dyDescent="0.25">
      <c r="A16" s="4"/>
      <c r="B16" s="4"/>
      <c r="C16" s="4"/>
      <c r="D16" s="4"/>
      <c r="E16" s="4"/>
      <c r="F16" s="4"/>
      <c r="G16" s="4"/>
      <c r="H16" s="4"/>
      <c r="I16" s="4"/>
      <c r="J16" s="4"/>
      <c r="K16" s="4"/>
      <c r="L16" s="4"/>
      <c r="M16" s="4"/>
      <c r="N16" s="4"/>
      <c r="Z16" s="227" t="str">
        <f>'APPLIES-preparation'!A6</f>
        <v>Internal</v>
      </c>
      <c r="AA16" s="243" t="str">
        <f>'APPLIES-preparation'!B18</f>
        <v>Operational</v>
      </c>
      <c r="AB16" s="243" t="str">
        <f>'APPLIES-preparation'!D18</f>
        <v>Market potential</v>
      </c>
      <c r="AC16" s="236" t="str">
        <f>'APPLIES-preparation'!AA18</f>
        <v>Very important</v>
      </c>
      <c r="AD16" s="244">
        <f>'APPLIES-preparation'!AC18</f>
        <v>0</v>
      </c>
      <c r="AE16" s="244">
        <f t="shared" si="0"/>
        <v>0</v>
      </c>
      <c r="AF16" s="245">
        <f>'APPLIES-preparation'!Z18</f>
        <v>3</v>
      </c>
      <c r="AG16" s="245">
        <f t="shared" si="1"/>
        <v>3</v>
      </c>
      <c r="AH16" s="244">
        <f t="shared" si="2"/>
        <v>0</v>
      </c>
      <c r="AI16" s="311">
        <f t="shared" si="4"/>
        <v>0</v>
      </c>
      <c r="AN16" s="224"/>
      <c r="AO16" s="248"/>
      <c r="AP16" s="248"/>
      <c r="AQ16" s="248"/>
    </row>
    <row r="17" spans="1:43" x14ac:dyDescent="0.25">
      <c r="A17" s="4"/>
      <c r="B17" s="4"/>
      <c r="C17" s="4"/>
      <c r="D17" s="4"/>
      <c r="E17" s="4"/>
      <c r="F17" s="4"/>
      <c r="G17" s="4"/>
      <c r="H17" s="4"/>
      <c r="I17" s="4"/>
      <c r="J17" s="4"/>
      <c r="K17" s="4"/>
      <c r="L17" s="4"/>
      <c r="M17" s="4"/>
      <c r="N17" s="4"/>
      <c r="Z17" s="227" t="str">
        <f>'APPLIES-preparation'!A22</f>
        <v>Internal</v>
      </c>
      <c r="AA17" s="243" t="str">
        <f>'APPLIES-preparation'!B25</f>
        <v>Operational</v>
      </c>
      <c r="AB17" s="243" t="str">
        <f>'APPLIES-preparation'!D25</f>
        <v>Organizational support</v>
      </c>
      <c r="AC17" s="236" t="str">
        <f>'APPLIES-preparation'!AA25</f>
        <v>Very important</v>
      </c>
      <c r="AD17" s="244">
        <f>'APPLIES-preparation'!AC25</f>
        <v>0</v>
      </c>
      <c r="AE17" s="244">
        <f t="shared" si="0"/>
        <v>0</v>
      </c>
      <c r="AF17" s="245">
        <f>'APPLIES-preparation'!Z25</f>
        <v>3</v>
      </c>
      <c r="AG17" s="245">
        <f t="shared" si="1"/>
        <v>3</v>
      </c>
      <c r="AH17" s="244">
        <f t="shared" si="2"/>
        <v>0</v>
      </c>
      <c r="AI17" s="311">
        <f t="shared" si="4"/>
        <v>0</v>
      </c>
      <c r="AN17" s="224"/>
      <c r="AO17" s="248"/>
      <c r="AP17" s="248"/>
      <c r="AQ17" s="248"/>
    </row>
    <row r="18" spans="1:43" x14ac:dyDescent="0.25">
      <c r="A18" s="4"/>
      <c r="B18" s="4"/>
      <c r="C18" s="4"/>
      <c r="D18" s="4"/>
      <c r="E18" s="4"/>
      <c r="F18" s="4"/>
      <c r="G18" s="4"/>
      <c r="H18" s="4"/>
      <c r="I18" s="4"/>
      <c r="J18" s="4"/>
      <c r="K18" s="4"/>
      <c r="L18" s="4"/>
      <c r="M18" s="4"/>
      <c r="N18" s="4"/>
      <c r="Z18" s="227" t="str">
        <f>'APPLIES-preparation'!A29</f>
        <v>Internal</v>
      </c>
      <c r="AA18" s="243" t="str">
        <f>'APPLIES-preparation'!B38</f>
        <v>Operational</v>
      </c>
      <c r="AB18" s="243" t="str">
        <f>'APPLIES-preparation'!D38</f>
        <v>Product line awareness</v>
      </c>
      <c r="AC18" s="236" t="str">
        <f>'APPLIES-preparation'!AA38</f>
        <v>Very important</v>
      </c>
      <c r="AD18" s="244">
        <f>'APPLIES-preparation'!AC38</f>
        <v>0</v>
      </c>
      <c r="AE18" s="244">
        <f t="shared" si="0"/>
        <v>0</v>
      </c>
      <c r="AF18" s="245">
        <f>'APPLIES-preparation'!Z38</f>
        <v>3</v>
      </c>
      <c r="AG18" s="245">
        <f t="shared" si="1"/>
        <v>3</v>
      </c>
      <c r="AH18" s="244">
        <f t="shared" si="2"/>
        <v>0</v>
      </c>
      <c r="AI18" s="311">
        <f t="shared" si="4"/>
        <v>0</v>
      </c>
      <c r="AN18" s="224"/>
      <c r="AO18" s="248"/>
      <c r="AP18" s="248"/>
      <c r="AQ18" s="248"/>
    </row>
    <row r="19" spans="1:43" x14ac:dyDescent="0.25">
      <c r="A19" s="4"/>
      <c r="B19" s="4"/>
      <c r="C19" s="4"/>
      <c r="D19" s="4"/>
      <c r="E19" s="4"/>
      <c r="F19" s="4"/>
      <c r="G19" s="4"/>
      <c r="H19" s="4"/>
      <c r="I19" s="4"/>
      <c r="J19" s="4"/>
      <c r="K19" s="4"/>
      <c r="L19" s="4"/>
      <c r="M19" s="4"/>
      <c r="N19" s="4"/>
      <c r="Z19" s="227" t="str">
        <f>'APPLIES-preparation'!A42</f>
        <v>Internal</v>
      </c>
      <c r="AA19" s="243" t="str">
        <f>'APPLIES-preparation'!B9</f>
        <v>Operational</v>
      </c>
      <c r="AB19" s="243" t="str">
        <f>'APPLIES-preparation'!D9</f>
        <v xml:space="preserve"> Degree of control over product specification</v>
      </c>
      <c r="AC19" s="236" t="str">
        <f>'APPLIES-preparation'!AA9</f>
        <v>Important</v>
      </c>
      <c r="AD19" s="244">
        <f>'APPLIES-preparation'!AC9</f>
        <v>0</v>
      </c>
      <c r="AE19" s="244">
        <f t="shared" si="0"/>
        <v>0</v>
      </c>
      <c r="AF19" s="245">
        <f>'APPLIES-preparation'!Z9</f>
        <v>2</v>
      </c>
      <c r="AG19" s="245">
        <f t="shared" si="1"/>
        <v>2</v>
      </c>
      <c r="AH19" s="244">
        <f t="shared" si="2"/>
        <v>0</v>
      </c>
      <c r="AI19" s="311">
        <f t="shared" si="4"/>
        <v>0</v>
      </c>
      <c r="AN19" s="224"/>
      <c r="AO19" s="248"/>
      <c r="AP19" s="248"/>
      <c r="AQ19" s="248"/>
    </row>
    <row r="20" spans="1:43" x14ac:dyDescent="0.25">
      <c r="A20" s="4"/>
      <c r="B20" s="4"/>
      <c r="C20" s="4"/>
      <c r="D20" s="4"/>
      <c r="E20" s="4"/>
      <c r="F20" s="4"/>
      <c r="G20" s="4"/>
      <c r="H20" s="4"/>
      <c r="I20" s="4"/>
      <c r="J20" s="4"/>
      <c r="K20" s="4"/>
      <c r="L20" s="4"/>
      <c r="M20" s="4"/>
      <c r="N20" s="4"/>
      <c r="Z20" s="227" t="str">
        <f>'APPLIES-preparation'!A12</f>
        <v>Internal</v>
      </c>
      <c r="AA20" s="243" t="str">
        <f>'APPLIES-preparation'!B29</f>
        <v>Operational</v>
      </c>
      <c r="AB20" s="243" t="str">
        <f>'APPLIES-preparation'!D29</f>
        <v>Potential products</v>
      </c>
      <c r="AC20" s="236" t="str">
        <f>'APPLIES-preparation'!AA29</f>
        <v>Important</v>
      </c>
      <c r="AD20" s="244">
        <f>'APPLIES-preparation'!AC29</f>
        <v>0</v>
      </c>
      <c r="AE20" s="244">
        <f t="shared" si="0"/>
        <v>0</v>
      </c>
      <c r="AF20" s="245">
        <f>'APPLIES-preparation'!Z29</f>
        <v>2</v>
      </c>
      <c r="AG20" s="245">
        <f t="shared" si="1"/>
        <v>2</v>
      </c>
      <c r="AH20" s="244">
        <f t="shared" si="2"/>
        <v>0</v>
      </c>
      <c r="AI20" s="311">
        <f t="shared" si="4"/>
        <v>0</v>
      </c>
      <c r="AN20" s="224"/>
      <c r="AO20" s="248"/>
      <c r="AP20" s="248"/>
      <c r="AQ20" s="248"/>
    </row>
    <row r="21" spans="1:43" x14ac:dyDescent="0.25">
      <c r="A21" s="4"/>
      <c r="B21" s="4"/>
      <c r="C21" s="4"/>
      <c r="D21" s="4"/>
      <c r="E21" s="4"/>
      <c r="F21" s="4"/>
      <c r="G21" s="4"/>
      <c r="H21" s="4"/>
      <c r="I21" s="4"/>
      <c r="J21" s="4"/>
      <c r="K21" s="4"/>
      <c r="L21" s="4"/>
      <c r="M21" s="4"/>
      <c r="N21" s="4"/>
      <c r="Z21" s="227" t="str">
        <f>'APPLIES-preparation'!A33</f>
        <v>Internal</v>
      </c>
      <c r="AA21" s="243" t="str">
        <f>'APPLIES-preparation'!B42</f>
        <v>Technical</v>
      </c>
      <c r="AB21" s="243" t="str">
        <f>'APPLIES-preparation'!D42</f>
        <v>Commonality and variability</v>
      </c>
      <c r="AC21" s="236" t="str">
        <f>'APPLIES-preparation'!AA42</f>
        <v>Very important</v>
      </c>
      <c r="AD21" s="244">
        <f>'APPLIES-preparation'!AC42</f>
        <v>0</v>
      </c>
      <c r="AE21" s="244">
        <f t="shared" si="0"/>
        <v>0</v>
      </c>
      <c r="AF21" s="245">
        <f>'APPLIES-preparation'!Z42</f>
        <v>3</v>
      </c>
      <c r="AG21" s="245">
        <f t="shared" si="1"/>
        <v>3</v>
      </c>
      <c r="AH21" s="244">
        <f t="shared" si="2"/>
        <v>0</v>
      </c>
      <c r="AI21" s="311">
        <f>IF(AD21="N/A","--",AE21*AG21/$AK$12)</f>
        <v>0</v>
      </c>
      <c r="AN21" s="224"/>
      <c r="AO21" s="248"/>
      <c r="AP21" s="248"/>
      <c r="AQ21" s="248"/>
    </row>
    <row r="22" spans="1:43" ht="27.75" customHeight="1" x14ac:dyDescent="0.25">
      <c r="A22" s="4"/>
      <c r="B22" s="4"/>
      <c r="C22" s="4"/>
      <c r="D22" s="4"/>
      <c r="E22" s="4"/>
      <c r="F22" s="4"/>
      <c r="G22" s="4"/>
      <c r="H22" s="4"/>
      <c r="I22" s="4"/>
      <c r="J22" s="4"/>
      <c r="K22" s="4"/>
      <c r="L22" s="4"/>
      <c r="M22" s="4"/>
      <c r="N22" s="4"/>
      <c r="Z22" s="227" t="e">
        <f>'APPLIES-preparation'!#REF!</f>
        <v>#REF!</v>
      </c>
      <c r="AA22" s="243" t="str">
        <f>'APPLIES-preparation'!B61</f>
        <v>Technical</v>
      </c>
      <c r="AB22" s="243" t="str">
        <f>'APPLIES-preparation'!D61</f>
        <v>Software engineering capability</v>
      </c>
      <c r="AC22" s="236" t="str">
        <f>'APPLIES-preparation'!AA61</f>
        <v>Very important</v>
      </c>
      <c r="AD22" s="244">
        <f>'APPLIES-preparation'!AC61</f>
        <v>0</v>
      </c>
      <c r="AE22" s="244">
        <f t="shared" si="0"/>
        <v>0</v>
      </c>
      <c r="AF22" s="245">
        <f>'APPLIES-preparation'!Z61</f>
        <v>3</v>
      </c>
      <c r="AG22" s="245">
        <f t="shared" si="1"/>
        <v>3</v>
      </c>
      <c r="AH22" s="244">
        <f t="shared" si="2"/>
        <v>0</v>
      </c>
      <c r="AI22" s="311">
        <f t="shared" ref="AI22:AI24" si="5">IF(AD22="N/A","--",AE22*AG22/$AK$12)</f>
        <v>0</v>
      </c>
      <c r="AN22" s="224"/>
    </row>
    <row r="23" spans="1:43" x14ac:dyDescent="0.25">
      <c r="A23" s="4"/>
      <c r="B23" s="4"/>
      <c r="C23" s="4"/>
      <c r="D23" s="4"/>
      <c r="E23" s="4"/>
      <c r="F23" s="4"/>
      <c r="G23" s="4"/>
      <c r="H23" s="4"/>
      <c r="I23" s="4"/>
      <c r="J23" s="4"/>
      <c r="K23" s="4"/>
      <c r="L23" s="4"/>
      <c r="M23" s="4"/>
      <c r="N23" s="4"/>
      <c r="Z23" s="227" t="str">
        <f>'APPLIES-preparation'!A46</f>
        <v>Internal</v>
      </c>
      <c r="AA23" s="243" t="str">
        <f>'APPLIES-preparation'!B54</f>
        <v>Technical</v>
      </c>
      <c r="AB23" s="243" t="str">
        <f>'APPLIES-preparation'!D54</f>
        <v>Reuse potential</v>
      </c>
      <c r="AC23" s="236" t="str">
        <f>'APPLIES-preparation'!AA54</f>
        <v>Very important</v>
      </c>
      <c r="AD23" s="244">
        <f>'APPLIES-preparation'!AC54</f>
        <v>0</v>
      </c>
      <c r="AE23" s="244">
        <f t="shared" si="0"/>
        <v>0</v>
      </c>
      <c r="AF23" s="245">
        <f>'APPLIES-preparation'!Z54</f>
        <v>3</v>
      </c>
      <c r="AG23" s="245">
        <f t="shared" si="1"/>
        <v>3</v>
      </c>
      <c r="AH23" s="244">
        <f t="shared" si="2"/>
        <v>0</v>
      </c>
      <c r="AI23" s="311">
        <f t="shared" si="5"/>
        <v>0</v>
      </c>
      <c r="AN23" s="224"/>
    </row>
    <row r="24" spans="1:43" x14ac:dyDescent="0.25">
      <c r="A24" s="4"/>
      <c r="B24" s="4"/>
      <c r="C24" s="4"/>
      <c r="D24" s="4"/>
      <c r="E24" s="4"/>
      <c r="F24" s="4"/>
      <c r="G24" s="4"/>
      <c r="H24" s="4"/>
      <c r="I24" s="4"/>
      <c r="J24" s="4"/>
      <c r="K24" s="4"/>
      <c r="L24" s="4"/>
      <c r="M24" s="4"/>
      <c r="N24" s="4"/>
      <c r="Z24" s="227" t="e">
        <f>'APPLIES-preparation'!#REF!</f>
        <v>#REF!</v>
      </c>
      <c r="AA24" s="243" t="str">
        <f>'APPLIES-preparation'!B46</f>
        <v>Technical</v>
      </c>
      <c r="AB24" s="243" t="str">
        <f>'APPLIES-preparation'!D46</f>
        <v>Reuse aptitute</v>
      </c>
      <c r="AC24" s="236" t="str">
        <f>'APPLIES-preparation'!AA46</f>
        <v>Important</v>
      </c>
      <c r="AD24" s="244">
        <f>'APPLIES-preparation'!AC46</f>
        <v>0</v>
      </c>
      <c r="AE24" s="244">
        <f t="shared" si="0"/>
        <v>0</v>
      </c>
      <c r="AF24" s="245">
        <f>'APPLIES-preparation'!Z46</f>
        <v>2</v>
      </c>
      <c r="AG24" s="245">
        <f t="shared" si="1"/>
        <v>2</v>
      </c>
      <c r="AH24" s="244">
        <f t="shared" si="2"/>
        <v>0</v>
      </c>
      <c r="AI24" s="311">
        <f t="shared" si="5"/>
        <v>0</v>
      </c>
      <c r="AN24" s="224"/>
    </row>
    <row r="25" spans="1:43" x14ac:dyDescent="0.25">
      <c r="A25" s="4"/>
      <c r="B25" s="4"/>
      <c r="C25" s="4"/>
      <c r="D25" s="4"/>
      <c r="E25" s="4"/>
      <c r="F25" s="4"/>
      <c r="G25" s="4"/>
      <c r="H25" s="4"/>
      <c r="I25" s="4"/>
      <c r="J25" s="4"/>
      <c r="K25" s="4"/>
      <c r="L25" s="4"/>
      <c r="M25" s="4"/>
      <c r="N25" s="4"/>
      <c r="Z25" s="227" t="str">
        <f>'APPLIES-preparation'!A61</f>
        <v>Internal</v>
      </c>
      <c r="AF25" s="245">
        <f>SUM(AF10:AF24)</f>
        <v>39</v>
      </c>
      <c r="AG25" s="245">
        <f>SUM(AG10:AG24)</f>
        <v>39</v>
      </c>
      <c r="AH25" s="244">
        <f>SUM(AH10:AH24)</f>
        <v>0</v>
      </c>
      <c r="AN25" s="224"/>
    </row>
    <row r="26" spans="1:43" x14ac:dyDescent="0.25">
      <c r="A26" s="4"/>
      <c r="B26" s="4"/>
      <c r="C26" s="4"/>
      <c r="D26" s="4"/>
      <c r="E26" s="4"/>
      <c r="F26" s="4"/>
      <c r="G26" s="4"/>
      <c r="H26" s="4"/>
      <c r="I26" s="4"/>
      <c r="J26" s="4"/>
      <c r="K26" s="4"/>
      <c r="L26" s="4"/>
      <c r="M26" s="4"/>
      <c r="N26" s="4"/>
      <c r="Z26" s="227" t="str">
        <f>'APPLIES-preparation'!A54</f>
        <v>Internal</v>
      </c>
      <c r="AN26" s="224"/>
    </row>
    <row r="27" spans="1:43" x14ac:dyDescent="0.25">
      <c r="A27" s="4"/>
      <c r="B27" s="4"/>
      <c r="C27" s="4"/>
      <c r="D27" s="4"/>
      <c r="E27" s="4"/>
      <c r="F27" s="4"/>
      <c r="G27" s="4"/>
      <c r="H27" s="4"/>
      <c r="I27" s="4"/>
      <c r="J27" s="4"/>
      <c r="K27" s="4"/>
      <c r="L27" s="4"/>
      <c r="M27" s="4"/>
      <c r="N27" s="4"/>
      <c r="Z27" s="223"/>
      <c r="AN27" s="224"/>
    </row>
    <row r="28" spans="1:43" x14ac:dyDescent="0.25">
      <c r="A28" s="4"/>
      <c r="B28" s="4"/>
      <c r="C28" s="4"/>
      <c r="D28" s="4"/>
      <c r="E28" s="4"/>
      <c r="F28" s="4"/>
      <c r="G28" s="4"/>
      <c r="H28" s="4"/>
      <c r="I28" s="4"/>
      <c r="J28" s="4"/>
      <c r="K28" s="4"/>
      <c r="L28" s="4"/>
      <c r="M28" s="4"/>
      <c r="N28" s="4"/>
      <c r="Z28" s="223"/>
      <c r="AN28" s="224"/>
    </row>
    <row r="29" spans="1:43" x14ac:dyDescent="0.25">
      <c r="A29" s="4"/>
      <c r="B29" s="4"/>
      <c r="C29" s="4"/>
      <c r="D29" s="4"/>
      <c r="E29" s="4"/>
      <c r="F29" s="4"/>
      <c r="G29" s="4"/>
      <c r="H29" s="4"/>
      <c r="I29" s="4"/>
      <c r="J29" s="4"/>
      <c r="K29" s="4"/>
      <c r="L29" s="4"/>
      <c r="M29" s="4"/>
      <c r="N29" s="4"/>
      <c r="Z29" s="223"/>
      <c r="AN29" s="224"/>
    </row>
    <row r="30" spans="1:43" x14ac:dyDescent="0.25">
      <c r="A30" s="4"/>
      <c r="B30" s="4"/>
      <c r="C30" s="4"/>
      <c r="D30" s="4"/>
      <c r="E30" s="4"/>
      <c r="F30" s="4"/>
      <c r="G30" s="4"/>
      <c r="H30" s="4"/>
      <c r="I30" s="4"/>
      <c r="J30" s="4"/>
      <c r="K30" s="4"/>
      <c r="L30" s="4"/>
      <c r="M30" s="4"/>
      <c r="N30" s="4"/>
      <c r="Z30" s="223" t="s">
        <v>260</v>
      </c>
      <c r="AA30" s="236" t="s">
        <v>331</v>
      </c>
      <c r="AN30" s="224"/>
    </row>
    <row r="31" spans="1:43" x14ac:dyDescent="0.25">
      <c r="A31" s="4"/>
      <c r="B31" s="4"/>
      <c r="C31" s="4"/>
      <c r="D31" s="4"/>
      <c r="E31" s="4"/>
      <c r="F31" s="4"/>
      <c r="G31" s="4"/>
      <c r="H31" s="4"/>
      <c r="I31" s="4"/>
      <c r="J31" s="4"/>
      <c r="K31" s="4"/>
      <c r="L31" s="4"/>
      <c r="M31" s="4"/>
      <c r="N31" s="4"/>
      <c r="Z31" s="223" t="s">
        <v>9</v>
      </c>
      <c r="AN31" s="224"/>
    </row>
    <row r="32" spans="1:43" x14ac:dyDescent="0.25">
      <c r="A32" s="4"/>
      <c r="B32" s="4"/>
      <c r="C32" s="4"/>
      <c r="D32" s="4"/>
      <c r="E32" s="4"/>
      <c r="F32" s="4"/>
      <c r="G32" s="4"/>
      <c r="H32" s="4"/>
      <c r="I32" s="4"/>
      <c r="J32" s="4"/>
      <c r="K32" s="4"/>
      <c r="L32" s="4"/>
      <c r="M32" s="4"/>
      <c r="N32" s="4"/>
      <c r="Z32" s="223" t="str">
        <f>IF(AC12=Data!A10,Data_preparationResults!AB12,"")</f>
        <v>Openness</v>
      </c>
      <c r="AA32" s="247" t="s">
        <v>266</v>
      </c>
      <c r="AN32" s="224"/>
    </row>
    <row r="33" spans="1:40" x14ac:dyDescent="0.25">
      <c r="A33" s="4"/>
      <c r="B33" s="4"/>
      <c r="C33" s="4"/>
      <c r="D33" s="4"/>
      <c r="E33" s="4"/>
      <c r="F33" s="4"/>
      <c r="G33" s="4"/>
      <c r="H33" s="4"/>
      <c r="I33" s="4"/>
      <c r="J33" s="4"/>
      <c r="K33" s="4"/>
      <c r="L33" s="4"/>
      <c r="M33" s="4"/>
      <c r="N33" s="4"/>
      <c r="Z33" s="223">
        <f>IF(Z32&lt;&gt;"",AD12,"")</f>
        <v>0</v>
      </c>
      <c r="AA33" s="240" t="s">
        <v>38</v>
      </c>
      <c r="AB33" s="240" t="s">
        <v>258</v>
      </c>
      <c r="AC33" s="240" t="s">
        <v>31</v>
      </c>
      <c r="AN33" s="224"/>
    </row>
    <row r="34" spans="1:40" x14ac:dyDescent="0.25">
      <c r="A34" s="4"/>
      <c r="B34" s="4"/>
      <c r="C34" s="4"/>
      <c r="D34" s="4"/>
      <c r="E34" s="4"/>
      <c r="F34" s="4"/>
      <c r="G34" s="4"/>
      <c r="H34" s="4"/>
      <c r="I34" s="4"/>
      <c r="J34" s="4"/>
      <c r="K34" s="4"/>
      <c r="L34" s="4"/>
      <c r="M34" s="4"/>
      <c r="N34" s="4"/>
      <c r="Z34" s="223"/>
      <c r="AA34" s="236" t="str">
        <f>IF(AA10=Data!$C$10,Data_preparationResults!AB10,"")</f>
        <v/>
      </c>
      <c r="AB34" s="236" t="str">
        <f>IF(AA34&lt;&gt;"",AC10,"")</f>
        <v/>
      </c>
      <c r="AC34" s="243" t="str">
        <f>IF(AA34&lt;&gt;"",AD10,"")</f>
        <v/>
      </c>
      <c r="AN34" s="224"/>
    </row>
    <row r="35" spans="1:40" x14ac:dyDescent="0.25">
      <c r="A35" s="4"/>
      <c r="B35" s="4"/>
      <c r="C35" s="4"/>
      <c r="D35" s="4"/>
      <c r="E35" s="4"/>
      <c r="F35" s="4"/>
      <c r="G35" s="4"/>
      <c r="H35" s="4"/>
      <c r="I35" s="4"/>
      <c r="J35" s="4"/>
      <c r="K35" s="4"/>
      <c r="L35" s="4"/>
      <c r="M35" s="4"/>
      <c r="N35" s="4"/>
      <c r="Z35" s="223"/>
      <c r="AA35" s="236" t="e">
        <f>IF(#REF!=Data!$C$10,Data_preparationResults!#REF!,"")</f>
        <v>#REF!</v>
      </c>
      <c r="AB35" s="236" t="e">
        <f>IF(AA35&lt;&gt;"",#REF!,"")</f>
        <v>#REF!</v>
      </c>
      <c r="AC35" s="243" t="e">
        <f>IF(AA35&lt;&gt;"",#REF!,"")</f>
        <v>#REF!</v>
      </c>
      <c r="AN35" s="224"/>
    </row>
    <row r="36" spans="1:40" x14ac:dyDescent="0.25">
      <c r="A36" s="4"/>
      <c r="B36" s="4"/>
      <c r="C36" s="4"/>
      <c r="D36" s="4"/>
      <c r="E36" s="4"/>
      <c r="F36" s="4"/>
      <c r="G36" s="4"/>
      <c r="H36" s="4"/>
      <c r="I36" s="4"/>
      <c r="J36" s="4"/>
      <c r="K36" s="4"/>
      <c r="L36" s="4"/>
      <c r="M36" s="4"/>
      <c r="N36" s="4"/>
      <c r="Z36" s="223">
        <v>1</v>
      </c>
      <c r="AA36" s="236" t="str">
        <f>IF(AA11=Data!$C$10,Data_preparationResults!AB11,"")</f>
        <v/>
      </c>
      <c r="AB36" s="236" t="str">
        <f t="shared" ref="AB36:AB45" si="6">IF(AA36&lt;&gt;"",AC11,"")</f>
        <v/>
      </c>
      <c r="AC36" s="243" t="str">
        <f t="shared" ref="AC36:AC45" si="7">IF(AA36&lt;&gt;"",AD11,"")</f>
        <v/>
      </c>
      <c r="AN36" s="224"/>
    </row>
    <row r="37" spans="1:40" x14ac:dyDescent="0.25">
      <c r="A37" s="4"/>
      <c r="B37" s="4"/>
      <c r="C37" s="4"/>
      <c r="D37" s="4"/>
      <c r="E37" s="4"/>
      <c r="F37" s="4"/>
      <c r="G37" s="4"/>
      <c r="H37" s="4"/>
      <c r="I37" s="4"/>
      <c r="J37" s="4"/>
      <c r="K37" s="4"/>
      <c r="L37" s="4"/>
      <c r="M37" s="4"/>
      <c r="N37" s="4"/>
      <c r="Z37" s="223">
        <v>2</v>
      </c>
      <c r="AA37" s="236" t="str">
        <f>IF(AA12=Data!$C$10,Data_preparationResults!AB12,"")</f>
        <v>Openness</v>
      </c>
      <c r="AB37" s="236" t="str">
        <f t="shared" si="6"/>
        <v>Very important</v>
      </c>
      <c r="AC37" s="243">
        <f t="shared" si="7"/>
        <v>0</v>
      </c>
      <c r="AN37" s="224"/>
    </row>
    <row r="38" spans="1:40" x14ac:dyDescent="0.25">
      <c r="A38" s="4"/>
      <c r="B38" s="4"/>
      <c r="C38" s="4"/>
      <c r="D38" s="4"/>
      <c r="E38" s="4"/>
      <c r="F38" s="4"/>
      <c r="G38" s="4"/>
      <c r="H38" s="4"/>
      <c r="I38" s="4"/>
      <c r="J38" s="4"/>
      <c r="K38" s="4"/>
      <c r="L38" s="4"/>
      <c r="M38" s="4"/>
      <c r="N38" s="4"/>
      <c r="Z38" s="223">
        <v>3</v>
      </c>
      <c r="AA38" s="236" t="str">
        <f>IF(AA13=Data!$C$10,Data_preparationResults!AB13,"")</f>
        <v>Domain knowledge</v>
      </c>
      <c r="AB38" s="236" t="str">
        <f t="shared" si="6"/>
        <v>Very important</v>
      </c>
      <c r="AC38" s="243">
        <f t="shared" si="7"/>
        <v>0</v>
      </c>
      <c r="AN38" s="224"/>
    </row>
    <row r="39" spans="1:40" x14ac:dyDescent="0.25">
      <c r="A39" s="4"/>
      <c r="B39" s="4"/>
      <c r="C39" s="4"/>
      <c r="D39" s="4"/>
      <c r="E39" s="4"/>
      <c r="F39" s="4"/>
      <c r="G39" s="4"/>
      <c r="H39" s="4"/>
      <c r="I39" s="4"/>
      <c r="J39" s="4"/>
      <c r="K39" s="4"/>
      <c r="L39" s="4"/>
      <c r="M39" s="4"/>
      <c r="N39" s="4"/>
      <c r="Z39" s="223">
        <v>4</v>
      </c>
      <c r="AA39" s="236" t="str">
        <f>IF(AA14=Data!$C$10,Data_preparationResults!AB14,"")</f>
        <v>Process discipline</v>
      </c>
      <c r="AB39" s="236" t="str">
        <f t="shared" si="6"/>
        <v>Very important</v>
      </c>
      <c r="AC39" s="243">
        <f t="shared" si="7"/>
        <v>0</v>
      </c>
      <c r="AN39" s="224"/>
    </row>
    <row r="40" spans="1:40" x14ac:dyDescent="0.25">
      <c r="A40" s="4"/>
      <c r="B40" s="4"/>
      <c r="C40" s="4"/>
      <c r="D40" s="4"/>
      <c r="E40" s="4"/>
      <c r="F40" s="4"/>
      <c r="G40" s="4"/>
      <c r="H40" s="4"/>
      <c r="I40" s="4"/>
      <c r="J40" s="4"/>
      <c r="K40" s="4"/>
      <c r="L40" s="4"/>
      <c r="M40" s="4"/>
      <c r="N40" s="4"/>
      <c r="Z40" s="223">
        <v>5</v>
      </c>
      <c r="AA40" s="236" t="str">
        <f>IF(AA15=Data!$C$10,Data_preparationResults!AB15,"")</f>
        <v>Commitment of key actors</v>
      </c>
      <c r="AB40" s="236" t="str">
        <f t="shared" si="6"/>
        <v>Very important</v>
      </c>
      <c r="AC40" s="243">
        <f t="shared" si="7"/>
        <v>0</v>
      </c>
      <c r="AN40" s="224"/>
    </row>
    <row r="41" spans="1:40" x14ac:dyDescent="0.25">
      <c r="A41" s="4"/>
      <c r="B41" s="4"/>
      <c r="C41" s="4"/>
      <c r="D41" s="4"/>
      <c r="E41" s="4"/>
      <c r="F41" s="4"/>
      <c r="G41" s="4"/>
      <c r="H41" s="4"/>
      <c r="I41" s="4"/>
      <c r="J41" s="4"/>
      <c r="K41" s="4"/>
      <c r="L41" s="4"/>
      <c r="M41" s="4"/>
      <c r="N41" s="4"/>
      <c r="Z41" s="223">
        <v>6</v>
      </c>
      <c r="AA41" s="236" t="str">
        <f>IF(AA16=Data!$C$10,Data_preparationResults!AB16,"")</f>
        <v>Market potential</v>
      </c>
      <c r="AB41" s="236" t="str">
        <f t="shared" si="6"/>
        <v>Very important</v>
      </c>
      <c r="AC41" s="243">
        <f t="shared" si="7"/>
        <v>0</v>
      </c>
      <c r="AN41" s="224"/>
    </row>
    <row r="42" spans="1:40" x14ac:dyDescent="0.25">
      <c r="A42" s="4"/>
      <c r="B42" s="4"/>
      <c r="C42" s="4"/>
      <c r="D42" s="4"/>
      <c r="E42" s="4"/>
      <c r="F42" s="4"/>
      <c r="G42" s="4"/>
      <c r="H42" s="4"/>
      <c r="I42" s="4"/>
      <c r="J42" s="4"/>
      <c r="K42" s="4"/>
      <c r="L42" s="4"/>
      <c r="M42" s="4"/>
      <c r="N42" s="4"/>
      <c r="Z42" s="223">
        <v>7</v>
      </c>
      <c r="AA42" s="236" t="str">
        <f>IF(AA17=Data!$C$10,Data_preparationResults!AB17,"")</f>
        <v>Organizational support</v>
      </c>
      <c r="AB42" s="236" t="str">
        <f t="shared" si="6"/>
        <v>Very important</v>
      </c>
      <c r="AC42" s="243">
        <f t="shared" si="7"/>
        <v>0</v>
      </c>
      <c r="AN42" s="224"/>
    </row>
    <row r="43" spans="1:40" x14ac:dyDescent="0.25">
      <c r="A43" s="4"/>
      <c r="B43" s="4"/>
      <c r="C43" s="4"/>
      <c r="D43" s="4"/>
      <c r="E43" s="4"/>
      <c r="F43" s="4"/>
      <c r="G43" s="4"/>
      <c r="H43" s="4"/>
      <c r="I43" s="4"/>
      <c r="J43" s="4"/>
      <c r="K43" s="4"/>
      <c r="L43" s="4"/>
      <c r="M43" s="4"/>
      <c r="N43" s="4"/>
      <c r="Z43" s="223">
        <v>8</v>
      </c>
      <c r="AA43" s="236" t="str">
        <f>IF(AA18=Data!$C$10,Data_preparationResults!AB18,"")</f>
        <v>Product line awareness</v>
      </c>
      <c r="AB43" s="236" t="str">
        <f t="shared" si="6"/>
        <v>Very important</v>
      </c>
      <c r="AC43" s="243">
        <f t="shared" si="7"/>
        <v>0</v>
      </c>
      <c r="AN43" s="224"/>
    </row>
    <row r="44" spans="1:40" x14ac:dyDescent="0.25">
      <c r="A44" s="4"/>
      <c r="B44" s="4"/>
      <c r="C44" s="4"/>
      <c r="D44" s="4"/>
      <c r="E44" s="4"/>
      <c r="F44" s="4"/>
      <c r="G44" s="4"/>
      <c r="H44" s="4"/>
      <c r="I44" s="4"/>
      <c r="J44" s="4"/>
      <c r="K44" s="4"/>
      <c r="L44" s="4"/>
      <c r="M44" s="4"/>
      <c r="N44" s="4"/>
      <c r="Z44" s="223">
        <v>9</v>
      </c>
      <c r="AA44" s="236" t="str">
        <f>IF(AA19=Data!$C$10,Data_preparationResults!AB19,"")</f>
        <v xml:space="preserve"> Degree of control over product specification</v>
      </c>
      <c r="AB44" s="236" t="str">
        <f t="shared" si="6"/>
        <v>Important</v>
      </c>
      <c r="AC44" s="243">
        <f t="shared" si="7"/>
        <v>0</v>
      </c>
      <c r="AN44" s="224"/>
    </row>
    <row r="45" spans="1:40" x14ac:dyDescent="0.25">
      <c r="A45" s="4"/>
      <c r="B45" s="4"/>
      <c r="C45" s="4"/>
      <c r="D45" s="4"/>
      <c r="E45" s="4"/>
      <c r="F45" s="4"/>
      <c r="G45" s="4"/>
      <c r="H45" s="4"/>
      <c r="I45" s="4"/>
      <c r="J45" s="4"/>
      <c r="K45" s="4"/>
      <c r="L45" s="4"/>
      <c r="M45" s="4"/>
      <c r="N45" s="4"/>
      <c r="Z45" s="223">
        <v>10</v>
      </c>
      <c r="AA45" s="236" t="str">
        <f>IF(AA20=Data!$C$10,Data_preparationResults!AB20,"")</f>
        <v>Potential products</v>
      </c>
      <c r="AB45" s="236" t="str">
        <f t="shared" si="6"/>
        <v>Important</v>
      </c>
      <c r="AC45" s="243">
        <f t="shared" si="7"/>
        <v>0</v>
      </c>
      <c r="AN45" s="224"/>
    </row>
    <row r="46" spans="1:40" x14ac:dyDescent="0.25">
      <c r="A46" s="4"/>
      <c r="B46" s="4"/>
      <c r="C46" s="4"/>
      <c r="D46" s="4"/>
      <c r="E46" s="4"/>
      <c r="F46" s="4"/>
      <c r="G46" s="4"/>
      <c r="H46" s="4"/>
      <c r="I46" s="4"/>
      <c r="J46" s="4"/>
      <c r="K46" s="4"/>
      <c r="L46" s="4"/>
      <c r="M46" s="4"/>
      <c r="N46" s="4"/>
      <c r="Z46" s="223">
        <v>11</v>
      </c>
      <c r="AA46" s="236" t="e">
        <f>IF(#REF!=Data!$C$10,Data_preparationResults!#REF!,"")</f>
        <v>#REF!</v>
      </c>
      <c r="AB46" s="236" t="e">
        <f>IF(AA46&lt;&gt;"",#REF!,"")</f>
        <v>#REF!</v>
      </c>
      <c r="AC46" s="243" t="e">
        <f>IF(AA46&lt;&gt;"",#REF!,"")</f>
        <v>#REF!</v>
      </c>
      <c r="AN46" s="224"/>
    </row>
    <row r="47" spans="1:40" x14ac:dyDescent="0.25">
      <c r="A47" s="4"/>
      <c r="B47" s="4"/>
      <c r="C47" s="4"/>
      <c r="D47" s="4"/>
      <c r="E47" s="4"/>
      <c r="F47" s="4"/>
      <c r="G47" s="4"/>
      <c r="H47" s="4"/>
      <c r="I47" s="4"/>
      <c r="J47" s="4"/>
      <c r="K47" s="4"/>
      <c r="L47" s="4"/>
      <c r="M47" s="4"/>
      <c r="N47" s="4"/>
      <c r="Z47" s="223">
        <v>12</v>
      </c>
      <c r="AA47" s="236" t="str">
        <f>IF(AA22=Data!$C$10,Data_preparationResults!AB22,"")</f>
        <v/>
      </c>
      <c r="AB47" s="236" t="str">
        <f t="shared" ref="AB47:AB50" si="8">IF(AA47&lt;&gt;"",AC21,"")</f>
        <v/>
      </c>
      <c r="AC47" s="243" t="str">
        <f t="shared" ref="AC47:AC50" si="9">IF(AA47&lt;&gt;"",AD21,"")</f>
        <v/>
      </c>
      <c r="AN47" s="224"/>
    </row>
    <row r="48" spans="1:40" x14ac:dyDescent="0.25">
      <c r="A48" s="4"/>
      <c r="B48" s="4"/>
      <c r="C48" s="4"/>
      <c r="D48" s="4"/>
      <c r="E48" s="4"/>
      <c r="F48" s="4"/>
      <c r="G48" s="4"/>
      <c r="H48" s="4"/>
      <c r="I48" s="4"/>
      <c r="J48" s="4"/>
      <c r="K48" s="4"/>
      <c r="L48" s="4"/>
      <c r="M48" s="4"/>
      <c r="N48" s="4"/>
      <c r="Z48" s="223">
        <v>13</v>
      </c>
      <c r="AA48" s="236" t="str">
        <f>IF(AA23=Data!$C$10,Data_preparationResults!AB23,"")</f>
        <v/>
      </c>
      <c r="AB48" s="236" t="str">
        <f t="shared" si="8"/>
        <v/>
      </c>
      <c r="AC48" s="243" t="str">
        <f t="shared" si="9"/>
        <v/>
      </c>
      <c r="AN48" s="224"/>
    </row>
    <row r="49" spans="1:40" x14ac:dyDescent="0.25">
      <c r="A49" s="4"/>
      <c r="B49" s="4"/>
      <c r="C49" s="4"/>
      <c r="D49" s="4"/>
      <c r="E49" s="4"/>
      <c r="F49" s="4"/>
      <c r="G49" s="4"/>
      <c r="H49" s="4"/>
      <c r="I49" s="4"/>
      <c r="J49" s="4"/>
      <c r="K49" s="4"/>
      <c r="L49" s="4"/>
      <c r="M49" s="4"/>
      <c r="N49" s="4"/>
      <c r="Z49" s="223">
        <v>14</v>
      </c>
      <c r="AA49" s="236" t="str">
        <f>IF(AA24=Data!$C$10,Data_preparationResults!AB24,"")</f>
        <v/>
      </c>
      <c r="AB49" s="236" t="str">
        <f t="shared" si="8"/>
        <v/>
      </c>
      <c r="AC49" s="243" t="str">
        <f t="shared" si="9"/>
        <v/>
      </c>
      <c r="AN49" s="224"/>
    </row>
    <row r="50" spans="1:40" x14ac:dyDescent="0.25">
      <c r="A50" s="4"/>
      <c r="B50" s="4"/>
      <c r="C50" s="4"/>
      <c r="D50" s="4"/>
      <c r="E50" s="4"/>
      <c r="F50" s="4"/>
      <c r="G50" s="4"/>
      <c r="H50" s="4"/>
      <c r="I50" s="4"/>
      <c r="J50" s="4"/>
      <c r="K50" s="4"/>
      <c r="L50" s="4"/>
      <c r="M50" s="4"/>
      <c r="N50" s="4"/>
      <c r="Z50" s="223">
        <v>15</v>
      </c>
      <c r="AA50" s="236" t="str">
        <f>IF(AA25=Data!$C$10,Data_preparationResults!AB25,"")</f>
        <v/>
      </c>
      <c r="AB50" s="236" t="str">
        <f t="shared" si="8"/>
        <v/>
      </c>
      <c r="AC50" s="243" t="str">
        <f t="shared" si="9"/>
        <v/>
      </c>
      <c r="AN50" s="224"/>
    </row>
    <row r="51" spans="1:40" x14ac:dyDescent="0.25">
      <c r="A51" s="4"/>
      <c r="B51" s="4"/>
      <c r="C51" s="4"/>
      <c r="D51" s="4"/>
      <c r="E51" s="4"/>
      <c r="F51" s="4"/>
      <c r="G51" s="4"/>
      <c r="H51" s="4"/>
      <c r="I51" s="4"/>
      <c r="J51" s="4"/>
      <c r="K51" s="4"/>
      <c r="L51" s="4"/>
      <c r="M51" s="4"/>
      <c r="N51" s="4"/>
      <c r="Z51" s="223">
        <v>16</v>
      </c>
      <c r="AA51" s="236" t="str">
        <f>IF(Z53&lt;&gt;"",AC25,"")</f>
        <v/>
      </c>
      <c r="AB51" s="236" t="str">
        <f>IF(Z53&lt;&gt;"",AD25,"")</f>
        <v/>
      </c>
      <c r="AN51" s="224"/>
    </row>
    <row r="52" spans="1:40" x14ac:dyDescent="0.25">
      <c r="A52" s="4"/>
      <c r="B52" s="4"/>
      <c r="C52" s="4"/>
      <c r="D52" s="4"/>
      <c r="E52" s="4"/>
      <c r="F52" s="4"/>
      <c r="G52" s="4"/>
      <c r="H52" s="4"/>
      <c r="I52" s="4"/>
      <c r="J52" s="4"/>
      <c r="K52" s="4"/>
      <c r="L52" s="4"/>
      <c r="M52" s="4"/>
      <c r="N52" s="4"/>
      <c r="Z52" s="223">
        <v>17</v>
      </c>
      <c r="AB52" s="236" t="str">
        <f>IF(Z54&lt;&gt;"",AD26,"")</f>
        <v/>
      </c>
      <c r="AN52" s="224"/>
    </row>
    <row r="53" spans="1:40" x14ac:dyDescent="0.25">
      <c r="A53" s="4"/>
      <c r="B53" s="4"/>
      <c r="C53" s="4"/>
      <c r="D53" s="4"/>
      <c r="E53" s="4"/>
      <c r="F53" s="4"/>
      <c r="G53" s="4"/>
      <c r="H53" s="4"/>
      <c r="I53" s="4"/>
      <c r="J53" s="4"/>
      <c r="K53" s="4"/>
      <c r="L53" s="4"/>
      <c r="M53" s="4"/>
      <c r="N53" s="4"/>
      <c r="Z53" s="223" t="str">
        <f>IF(AA26=Data!$C$10,Data_preparationResults!AB26,"")</f>
        <v/>
      </c>
      <c r="AN53" s="224"/>
    </row>
    <row r="54" spans="1:40" x14ac:dyDescent="0.25">
      <c r="A54" s="4"/>
      <c r="B54" s="4"/>
      <c r="C54" s="4"/>
      <c r="D54" s="4"/>
      <c r="E54" s="4"/>
      <c r="F54" s="4"/>
      <c r="G54" s="4"/>
      <c r="H54" s="4"/>
      <c r="I54" s="4"/>
      <c r="J54" s="4"/>
      <c r="K54" s="4"/>
      <c r="L54" s="4"/>
      <c r="M54" s="4"/>
      <c r="N54" s="4"/>
      <c r="Z54" s="220" t="str">
        <f>IF(AA27=Data!$C$10,Data_preparationResults!AB27,"")</f>
        <v/>
      </c>
    </row>
    <row r="55" spans="1:40" x14ac:dyDescent="0.25">
      <c r="A55" s="4"/>
      <c r="B55" s="4"/>
      <c r="C55" s="4"/>
      <c r="D55" s="4"/>
      <c r="E55" s="4"/>
      <c r="F55" s="4"/>
      <c r="G55" s="4"/>
      <c r="H55" s="4"/>
      <c r="I55" s="4"/>
      <c r="J55" s="4"/>
      <c r="K55" s="4"/>
      <c r="L55" s="4"/>
      <c r="M55" s="4"/>
      <c r="N55" s="4"/>
      <c r="Z55" s="220" t="str">
        <f>IF(AA28=Data!$C$10,Data_preparationResults!AB28,"")</f>
        <v/>
      </c>
    </row>
    <row r="56" spans="1:40" x14ac:dyDescent="0.25">
      <c r="A56" s="4"/>
      <c r="B56" s="4"/>
      <c r="C56" s="4"/>
      <c r="D56" s="4"/>
      <c r="E56" s="4"/>
      <c r="F56" s="4"/>
      <c r="G56" s="4"/>
      <c r="H56" s="4"/>
      <c r="I56" s="4"/>
      <c r="J56" s="4"/>
      <c r="K56" s="4"/>
      <c r="L56" s="4"/>
      <c r="M56" s="4"/>
      <c r="N56" s="4"/>
    </row>
    <row r="57" spans="1:40" x14ac:dyDescent="0.25">
      <c r="A57" s="4"/>
      <c r="B57" s="4"/>
      <c r="C57" s="4"/>
      <c r="D57" s="4"/>
      <c r="E57" s="4"/>
      <c r="F57" s="4"/>
      <c r="G57" s="4"/>
      <c r="H57" s="4"/>
      <c r="I57" s="4"/>
      <c r="J57" s="4"/>
      <c r="K57" s="4"/>
      <c r="L57" s="4"/>
      <c r="M57" s="4"/>
      <c r="N57" s="4"/>
    </row>
    <row r="58" spans="1:40" x14ac:dyDescent="0.25">
      <c r="A58" s="4"/>
      <c r="B58" s="4"/>
      <c r="C58" s="4"/>
      <c r="D58" s="4"/>
      <c r="E58" s="4"/>
      <c r="F58" s="4"/>
      <c r="G58" s="4"/>
      <c r="H58" s="4"/>
      <c r="I58" s="4"/>
      <c r="J58" s="4"/>
      <c r="K58" s="4"/>
      <c r="L58" s="4"/>
      <c r="M58" s="4"/>
      <c r="N58" s="4"/>
    </row>
    <row r="59" spans="1:40" x14ac:dyDescent="0.25">
      <c r="A59" s="4"/>
      <c r="B59" s="4"/>
      <c r="C59" s="4"/>
      <c r="D59" s="4"/>
      <c r="E59" s="4"/>
      <c r="F59" s="4"/>
      <c r="G59" s="4"/>
      <c r="H59" s="4"/>
      <c r="I59" s="4"/>
      <c r="J59" s="4"/>
      <c r="K59" s="4"/>
      <c r="L59" s="4"/>
      <c r="M59" s="4"/>
      <c r="N59" s="4"/>
    </row>
  </sheetData>
  <mergeCells count="1">
    <mergeCell ref="D7:I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89B27-A192-4A7B-A78B-43A668881160}">
  <sheetPr codeName="Hoja6"/>
  <dimension ref="A1:Q38"/>
  <sheetViews>
    <sheetView topLeftCell="A36" zoomScale="70" zoomScaleNormal="70" workbookViewId="0">
      <selection activeCell="Q26" sqref="Q26"/>
    </sheetView>
  </sheetViews>
  <sheetFormatPr baseColWidth="10" defaultRowHeight="15" x14ac:dyDescent="0.25"/>
  <cols>
    <col min="1" max="1" width="5.28515625" style="4" customWidth="1"/>
    <col min="2" max="2" width="46.42578125" style="4" bestFit="1" customWidth="1"/>
    <col min="3" max="3" width="16.7109375" style="294" bestFit="1" customWidth="1"/>
    <col min="4" max="4" width="12.42578125" style="294" bestFit="1" customWidth="1"/>
    <col min="5" max="5" width="18.140625" style="294" bestFit="1" customWidth="1"/>
    <col min="6" max="6" width="22.42578125" style="4" bestFit="1" customWidth="1"/>
    <col min="7" max="7" width="21" style="4" bestFit="1" customWidth="1"/>
    <col min="8" max="8" width="22.42578125" style="4" bestFit="1" customWidth="1"/>
    <col min="9" max="13" width="11.42578125" style="4"/>
    <col min="14" max="14" width="5.28515625" style="4" customWidth="1"/>
    <col min="15" max="15" width="15.42578125" style="4" customWidth="1"/>
    <col min="16" max="16" width="12.7109375" style="4" customWidth="1"/>
    <col min="17" max="17" width="13.5703125" style="4" bestFit="1" customWidth="1"/>
    <col min="18" max="16384" width="11.42578125" style="4"/>
  </cols>
  <sheetData>
    <row r="1" spans="1:17" ht="23.25" x14ac:dyDescent="0.35">
      <c r="A1" s="361" t="s">
        <v>418</v>
      </c>
      <c r="B1" s="361"/>
      <c r="C1" s="361"/>
      <c r="D1" s="361"/>
      <c r="E1" s="361"/>
      <c r="F1" s="361"/>
      <c r="G1" s="361"/>
      <c r="H1" s="361"/>
      <c r="I1" s="361"/>
      <c r="J1" s="361"/>
      <c r="K1" s="361"/>
      <c r="L1" s="361"/>
      <c r="M1" s="361"/>
      <c r="N1" s="361"/>
    </row>
    <row r="2" spans="1:17" ht="23.25" x14ac:dyDescent="0.35">
      <c r="A2" s="234"/>
    </row>
    <row r="3" spans="1:17" ht="22.5" customHeight="1" x14ac:dyDescent="0.4">
      <c r="A3" s="233"/>
      <c r="D3" s="365" t="s">
        <v>368</v>
      </c>
      <c r="E3" s="366"/>
      <c r="F3" s="366"/>
      <c r="G3" s="366"/>
      <c r="H3" s="366"/>
      <c r="I3" s="366"/>
      <c r="K3" s="231" t="s">
        <v>369</v>
      </c>
      <c r="O3" s="360" t="s">
        <v>377</v>
      </c>
      <c r="P3" s="360"/>
      <c r="Q3" s="232"/>
    </row>
    <row r="4" spans="1:17" ht="30.75" customHeight="1" x14ac:dyDescent="0.25">
      <c r="B4" s="254" t="s">
        <v>365</v>
      </c>
      <c r="C4" s="295"/>
      <c r="D4" s="364" t="str">
        <f>IF(B5&lt;3,Data!B16,IF(B5&lt;4,Data!B17,IF(B5&gt;=4,Data!B18)))</f>
        <v xml:space="preserve">The organization is probably not prepared for adopting a product line approach, and the change effort is likely to fail. Examine the lowest scoring assessment criteria to identify specific areas where your organization may be least ready for the change. </v>
      </c>
      <c r="E4" s="364"/>
      <c r="F4" s="364"/>
      <c r="G4" s="364"/>
      <c r="H4" s="364"/>
      <c r="I4" s="364"/>
      <c r="K4" s="363" t="str">
        <f>Data_preparationResults!AJ11</f>
        <v>Operational</v>
      </c>
      <c r="L4" s="363"/>
      <c r="M4" s="299">
        <f>Data_preparationResults!AL11</f>
        <v>0</v>
      </c>
      <c r="O4" s="367" t="s">
        <v>374</v>
      </c>
      <c r="P4" s="367"/>
      <c r="Q4" s="252">
        <f>COUNTIF(Data_preparationResults!$AD$10:$AD$24,"&lt;3")</f>
        <v>15</v>
      </c>
    </row>
    <row r="5" spans="1:17" ht="38.25" customHeight="1" x14ac:dyDescent="0.25">
      <c r="B5" s="368">
        <f>Data_preparationResults!AH25</f>
        <v>0</v>
      </c>
      <c r="C5" s="296"/>
      <c r="D5" s="364"/>
      <c r="E5" s="364"/>
      <c r="F5" s="364"/>
      <c r="G5" s="364"/>
      <c r="H5" s="364"/>
      <c r="I5" s="364"/>
      <c r="K5" s="363" t="str">
        <f>Data_preparationResults!AJ12</f>
        <v>Technical</v>
      </c>
      <c r="L5" s="363"/>
      <c r="M5" s="299">
        <f>Data_preparationResults!AL12</f>
        <v>0</v>
      </c>
      <c r="O5" s="367" t="s">
        <v>375</v>
      </c>
      <c r="P5" s="367"/>
      <c r="Q5" s="252">
        <f>COUNT(Data_preparationResults!AD10:AD24)-Q4-Q6</f>
        <v>0</v>
      </c>
    </row>
    <row r="6" spans="1:17" ht="38.25" customHeight="1" x14ac:dyDescent="0.25">
      <c r="B6" s="368"/>
      <c r="C6" s="296"/>
      <c r="D6" s="364"/>
      <c r="E6" s="364"/>
      <c r="F6" s="364"/>
      <c r="G6" s="364"/>
      <c r="H6" s="364"/>
      <c r="I6" s="364"/>
      <c r="K6" s="363" t="str">
        <f>Data_preparationResults!AJ10</f>
        <v>Economic</v>
      </c>
      <c r="L6" s="363"/>
      <c r="M6" s="299">
        <f>Data_preparationResults!AL10</f>
        <v>0</v>
      </c>
      <c r="O6" s="367" t="s">
        <v>376</v>
      </c>
      <c r="P6" s="367"/>
      <c r="Q6" s="252">
        <f>COUNTIF(Data_preparationResults!$AD$10:$AD$24,"&gt;4")</f>
        <v>0</v>
      </c>
    </row>
    <row r="7" spans="1:17" ht="19.5" customHeight="1" x14ac:dyDescent="0.25">
      <c r="B7" s="253"/>
      <c r="C7" s="296"/>
      <c r="D7" s="364"/>
      <c r="E7" s="364"/>
      <c r="F7" s="364"/>
      <c r="G7" s="364"/>
      <c r="H7" s="364"/>
      <c r="I7" s="364"/>
    </row>
    <row r="8" spans="1:17" ht="23.25" x14ac:dyDescent="0.25">
      <c r="B8" s="255" t="str">
        <f>IF(B5&lt;3,"Low prepared",IF(B5&lt;4,"Partially prepared",IF(B5&gt;=4,Data!A18)))</f>
        <v>Low prepared</v>
      </c>
      <c r="C8" s="297"/>
      <c r="D8" s="364"/>
      <c r="E8" s="364"/>
      <c r="F8" s="364"/>
      <c r="G8" s="364"/>
      <c r="H8" s="364"/>
      <c r="I8" s="364"/>
      <c r="O8" s="360" t="s">
        <v>420</v>
      </c>
      <c r="P8" s="360"/>
      <c r="Q8" s="314">
        <f>COUNTIF(Data_preparationResults!AE10:AE24,"--")</f>
        <v>0</v>
      </c>
    </row>
    <row r="10" spans="1:17" x14ac:dyDescent="0.25">
      <c r="B10" s="300"/>
      <c r="C10" s="301"/>
    </row>
    <row r="11" spans="1:17" x14ac:dyDescent="0.25">
      <c r="B11" s="300"/>
      <c r="C11" s="301"/>
    </row>
    <row r="12" spans="1:17" x14ac:dyDescent="0.25">
      <c r="A12" s="235"/>
    </row>
    <row r="13" spans="1:17" ht="24" customHeight="1" x14ac:dyDescent="0.25">
      <c r="B13" s="251" t="s">
        <v>421</v>
      </c>
      <c r="C13" s="298" t="s">
        <v>259</v>
      </c>
      <c r="D13" s="9"/>
      <c r="E13" s="9"/>
      <c r="F13"/>
      <c r="G13"/>
      <c r="H13"/>
    </row>
    <row r="14" spans="1:17" ht="24" customHeight="1" x14ac:dyDescent="0.25">
      <c r="B14" s="251" t="s">
        <v>371</v>
      </c>
      <c r="C14" s="9" t="s">
        <v>11</v>
      </c>
      <c r="D14" s="9" t="s">
        <v>10</v>
      </c>
      <c r="E14" s="9" t="s">
        <v>9</v>
      </c>
      <c r="F14"/>
      <c r="G14"/>
      <c r="H14"/>
    </row>
    <row r="15" spans="1:17" ht="27.75" customHeight="1" x14ac:dyDescent="0.25">
      <c r="B15" s="302" t="s">
        <v>96</v>
      </c>
      <c r="C15" s="9"/>
      <c r="D15" s="9">
        <v>0</v>
      </c>
      <c r="E15" s="9">
        <v>0</v>
      </c>
      <c r="F15"/>
      <c r="G15"/>
      <c r="H15"/>
    </row>
    <row r="16" spans="1:17" x14ac:dyDescent="0.25">
      <c r="B16" s="293" t="s">
        <v>229</v>
      </c>
      <c r="C16" s="9"/>
      <c r="D16" s="9"/>
      <c r="E16" s="9">
        <v>0</v>
      </c>
      <c r="F16"/>
      <c r="G16"/>
      <c r="H16"/>
    </row>
    <row r="17" spans="2:8" x14ac:dyDescent="0.25">
      <c r="B17" s="293" t="s">
        <v>140</v>
      </c>
      <c r="C17" s="9"/>
      <c r="D17" s="9">
        <v>0</v>
      </c>
      <c r="E17" s="9"/>
      <c r="F17"/>
      <c r="G17"/>
      <c r="H17"/>
    </row>
    <row r="18" spans="2:8" x14ac:dyDescent="0.25">
      <c r="B18" s="293" t="s">
        <v>127</v>
      </c>
      <c r="C18" s="9"/>
      <c r="D18" s="9"/>
      <c r="E18" s="9">
        <v>0</v>
      </c>
      <c r="F18"/>
      <c r="G18"/>
      <c r="H18"/>
    </row>
    <row r="19" spans="2:8" x14ac:dyDescent="0.25">
      <c r="B19" s="293" t="s">
        <v>134</v>
      </c>
      <c r="C19" s="9"/>
      <c r="D19" s="9"/>
      <c r="E19" s="9">
        <v>0</v>
      </c>
      <c r="F19"/>
      <c r="G19"/>
      <c r="H19"/>
    </row>
    <row r="20" spans="2:8" x14ac:dyDescent="0.25">
      <c r="B20" s="302" t="s">
        <v>260</v>
      </c>
      <c r="C20" s="9"/>
      <c r="D20" s="9">
        <v>0</v>
      </c>
      <c r="E20" s="9">
        <v>0</v>
      </c>
      <c r="F20"/>
      <c r="G20"/>
      <c r="H20"/>
    </row>
    <row r="21" spans="2:8" x14ac:dyDescent="0.25">
      <c r="B21" s="293" t="s">
        <v>227</v>
      </c>
      <c r="C21" s="9"/>
      <c r="D21" s="9">
        <v>0</v>
      </c>
      <c r="E21" s="9"/>
      <c r="F21"/>
      <c r="G21"/>
      <c r="H21"/>
    </row>
    <row r="22" spans="2:8" x14ac:dyDescent="0.25">
      <c r="B22" s="293" t="s">
        <v>106</v>
      </c>
      <c r="C22" s="9"/>
      <c r="D22" s="9"/>
      <c r="E22" s="9">
        <v>0</v>
      </c>
      <c r="F22"/>
      <c r="G22"/>
      <c r="H22"/>
    </row>
    <row r="23" spans="2:8" x14ac:dyDescent="0.25">
      <c r="B23" s="293" t="s">
        <v>6</v>
      </c>
      <c r="C23" s="9"/>
      <c r="D23" s="9"/>
      <c r="E23" s="9">
        <v>0</v>
      </c>
      <c r="F23"/>
      <c r="G23"/>
      <c r="H23"/>
    </row>
    <row r="24" spans="2:8" x14ac:dyDescent="0.25">
      <c r="B24" s="293" t="s">
        <v>126</v>
      </c>
      <c r="C24" s="9"/>
      <c r="D24" s="9"/>
      <c r="E24" s="9">
        <v>0</v>
      </c>
      <c r="F24"/>
      <c r="G24"/>
      <c r="H24"/>
    </row>
    <row r="25" spans="2:8" x14ac:dyDescent="0.25">
      <c r="B25" s="293" t="s">
        <v>339</v>
      </c>
      <c r="C25" s="9"/>
      <c r="D25" s="9"/>
      <c r="E25" s="9">
        <v>0</v>
      </c>
      <c r="F25"/>
      <c r="G25"/>
      <c r="H25"/>
    </row>
    <row r="26" spans="2:8" x14ac:dyDescent="0.25">
      <c r="B26" s="293" t="s">
        <v>356</v>
      </c>
      <c r="C26" s="9"/>
      <c r="D26" s="9"/>
      <c r="E26" s="9">
        <v>0</v>
      </c>
      <c r="F26"/>
      <c r="G26"/>
      <c r="H26"/>
    </row>
    <row r="27" spans="2:8" x14ac:dyDescent="0.25">
      <c r="B27" s="293" t="s">
        <v>7</v>
      </c>
      <c r="C27" s="9"/>
      <c r="D27" s="9">
        <v>0</v>
      </c>
      <c r="E27" s="9"/>
      <c r="F27"/>
      <c r="G27"/>
      <c r="H27"/>
    </row>
    <row r="28" spans="2:8" x14ac:dyDescent="0.25">
      <c r="B28" s="293" t="s">
        <v>107</v>
      </c>
      <c r="C28" s="9"/>
      <c r="D28" s="9"/>
      <c r="E28" s="9">
        <v>0</v>
      </c>
      <c r="F28"/>
      <c r="G28"/>
      <c r="H28"/>
    </row>
    <row r="29" spans="2:8" x14ac:dyDescent="0.25">
      <c r="B29" s="293" t="s">
        <v>218</v>
      </c>
      <c r="C29" s="9"/>
      <c r="D29" s="9"/>
      <c r="E29" s="9">
        <v>0</v>
      </c>
      <c r="F29"/>
      <c r="G29"/>
      <c r="H29"/>
    </row>
    <row r="30" spans="2:8" x14ac:dyDescent="0.25">
      <c r="B30" s="302" t="s">
        <v>261</v>
      </c>
      <c r="C30" s="9">
        <v>0</v>
      </c>
      <c r="D30" s="9">
        <v>0</v>
      </c>
      <c r="E30" s="9"/>
      <c r="F30"/>
      <c r="G30"/>
      <c r="H30"/>
    </row>
    <row r="31" spans="2:8" x14ac:dyDescent="0.25">
      <c r="B31" s="293" t="s">
        <v>182</v>
      </c>
      <c r="C31" s="9"/>
      <c r="D31" s="9">
        <v>0</v>
      </c>
      <c r="E31" s="9"/>
      <c r="F31"/>
      <c r="G31"/>
      <c r="H31"/>
    </row>
    <row r="32" spans="2:8" x14ac:dyDescent="0.25">
      <c r="B32" s="293" t="s">
        <v>181</v>
      </c>
      <c r="C32" s="9">
        <v>0</v>
      </c>
      <c r="D32" s="9"/>
      <c r="E32" s="9"/>
      <c r="F32"/>
      <c r="G32"/>
      <c r="H32"/>
    </row>
    <row r="33" spans="2:12" x14ac:dyDescent="0.25">
      <c r="B33"/>
      <c r="C33"/>
      <c r="D33"/>
      <c r="E33"/>
      <c r="F33"/>
      <c r="G33"/>
      <c r="H33"/>
    </row>
    <row r="37" spans="2:12" x14ac:dyDescent="0.25">
      <c r="D37" s="362" t="s">
        <v>373</v>
      </c>
      <c r="E37" s="362"/>
      <c r="F37" s="362"/>
      <c r="G37" s="362"/>
      <c r="H37" s="362"/>
      <c r="I37" s="362"/>
      <c r="L37" s="4" t="s">
        <v>247</v>
      </c>
    </row>
    <row r="38" spans="2:12" x14ac:dyDescent="0.25">
      <c r="D38" s="362"/>
      <c r="E38" s="362"/>
      <c r="F38" s="362"/>
      <c r="G38" s="362"/>
      <c r="H38" s="362"/>
      <c r="I38" s="362"/>
    </row>
  </sheetData>
  <mergeCells count="13">
    <mergeCell ref="O8:P8"/>
    <mergeCell ref="A1:N1"/>
    <mergeCell ref="D37:I38"/>
    <mergeCell ref="K6:L6"/>
    <mergeCell ref="K4:L4"/>
    <mergeCell ref="D4:I8"/>
    <mergeCell ref="D3:I3"/>
    <mergeCell ref="O4:P4"/>
    <mergeCell ref="O5:P5"/>
    <mergeCell ref="O6:P6"/>
    <mergeCell ref="B5:B6"/>
    <mergeCell ref="O3:P3"/>
    <mergeCell ref="K5:L5"/>
  </mergeCells>
  <conditionalFormatting sqref="D4:I8">
    <cfRule type="containsText" dxfId="9" priority="11" operator="containsText" text="moderate">
      <formula>NOT(ISERROR(SEARCH("moderate",D4)))</formula>
    </cfRule>
  </conditionalFormatting>
  <conditionalFormatting sqref="M5">
    <cfRule type="dataBar" priority="8">
      <dataBar>
        <cfvo type="num" val="0"/>
        <cfvo type="num" val="5"/>
        <color theme="3" tint="-0.249977111117893"/>
      </dataBar>
      <extLst>
        <ext xmlns:x14="http://schemas.microsoft.com/office/spreadsheetml/2009/9/main" uri="{B025F937-C7B1-47D3-B67F-A62EFF666E3E}">
          <x14:id>{D8CCF873-ABE8-4314-B83F-6299099A894C}</x14:id>
        </ext>
      </extLst>
    </cfRule>
  </conditionalFormatting>
  <conditionalFormatting sqref="Q6">
    <cfRule type="iconSet" priority="4">
      <iconSet iconSet="3Symbols">
        <cfvo type="percent" val="0"/>
        <cfvo type="num" val="0"/>
        <cfvo type="num" val="0"/>
      </iconSet>
    </cfRule>
  </conditionalFormatting>
  <conditionalFormatting sqref="M4">
    <cfRule type="dataBar" priority="1">
      <dataBar>
        <cfvo type="num" val="0"/>
        <cfvo type="num" val="5"/>
        <color theme="3" tint="-0.249977111117893"/>
      </dataBar>
      <extLst>
        <ext xmlns:x14="http://schemas.microsoft.com/office/spreadsheetml/2009/9/main" uri="{B025F937-C7B1-47D3-B67F-A62EFF666E3E}">
          <x14:id>{6E63EDB0-52B0-4417-BA02-4E9D107FF980}</x14:id>
        </ext>
      </extLst>
    </cfRule>
    <cfRule type="dataBar" priority="3">
      <dataBar>
        <cfvo type="num" val="0"/>
        <cfvo type="num" val="5"/>
        <color theme="2" tint="-0.749992370372631"/>
      </dataBar>
      <extLst>
        <ext xmlns:x14="http://schemas.microsoft.com/office/spreadsheetml/2009/9/main" uri="{B025F937-C7B1-47D3-B67F-A62EFF666E3E}">
          <x14:id>{CF3DC940-F1BF-47B6-B55B-D612DC4A1A54}</x14:id>
        </ext>
      </extLst>
    </cfRule>
  </conditionalFormatting>
  <conditionalFormatting sqref="M6">
    <cfRule type="dataBar" priority="2">
      <dataBar>
        <cfvo type="num" val="0"/>
        <cfvo type="num" val="5"/>
        <color theme="3" tint="-0.249977111117893"/>
      </dataBar>
      <extLst>
        <ext xmlns:x14="http://schemas.microsoft.com/office/spreadsheetml/2009/9/main" uri="{B025F937-C7B1-47D3-B67F-A62EFF666E3E}">
          <x14:id>{9078DC76-1C63-44F4-A708-620ECFAAAA69}</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D8CCF873-ABE8-4314-B83F-6299099A894C}">
            <x14:dataBar minLength="0" maxLength="100" border="1" negativeBarBorderColorSameAsPositive="0">
              <x14:cfvo type="num">
                <xm:f>0</xm:f>
              </x14:cfvo>
              <x14:cfvo type="num">
                <xm:f>5</xm:f>
              </x14:cfvo>
              <x14:borderColor theme="3" tint="-0.249977111117893"/>
              <x14:negativeFillColor rgb="FFFF0000"/>
              <x14:negativeBorderColor rgb="FFFF0000"/>
              <x14:axisColor rgb="FF000000"/>
            </x14:dataBar>
          </x14:cfRule>
          <xm:sqref>M5</xm:sqref>
        </x14:conditionalFormatting>
        <x14:conditionalFormatting xmlns:xm="http://schemas.microsoft.com/office/excel/2006/main">
          <x14:cfRule type="dataBar" id="{6E63EDB0-52B0-4417-BA02-4E9D107FF980}">
            <x14:dataBar minLength="0" maxLength="100" border="1" negativeBarBorderColorSameAsPositive="0">
              <x14:cfvo type="num">
                <xm:f>0</xm:f>
              </x14:cfvo>
              <x14:cfvo type="num">
                <xm:f>5</xm:f>
              </x14:cfvo>
              <x14:borderColor theme="3" tint="-0.249977111117893"/>
              <x14:negativeFillColor rgb="FFFF0000"/>
              <x14:negativeBorderColor rgb="FFFF0000"/>
              <x14:axisColor rgb="FF000000"/>
            </x14:dataBar>
          </x14:cfRule>
          <x14:cfRule type="dataBar" id="{CF3DC940-F1BF-47B6-B55B-D612DC4A1A54}">
            <x14:dataBar minLength="0" maxLength="100" border="1">
              <x14:cfvo type="num">
                <xm:f>0</xm:f>
              </x14:cfvo>
              <x14:cfvo type="num">
                <xm:f>5</xm:f>
              </x14:cfvo>
              <x14:borderColor rgb="FF000000"/>
              <x14:negativeFillColor rgb="FFFF0000"/>
              <x14:axisColor rgb="FF000000"/>
            </x14:dataBar>
          </x14:cfRule>
          <xm:sqref>M4</xm:sqref>
        </x14:conditionalFormatting>
        <x14:conditionalFormatting xmlns:xm="http://schemas.microsoft.com/office/excel/2006/main">
          <x14:cfRule type="dataBar" id="{9078DC76-1C63-44F4-A708-620ECFAAAA69}">
            <x14:dataBar minLength="0" maxLength="100" border="1" negativeBarBorderColorSameAsPositive="0">
              <x14:cfvo type="num">
                <xm:f>0</xm:f>
              </x14:cfvo>
              <x14:cfvo type="num">
                <xm:f>5</xm:f>
              </x14:cfvo>
              <x14:borderColor theme="3" tint="-0.249977111117893"/>
              <x14:negativeFillColor rgb="FFFF0000"/>
              <x14:negativeBorderColor rgb="FFFF0000"/>
              <x14:axisColor rgb="FF000000"/>
            </x14:dataBar>
          </x14:cfRule>
          <xm:sqref>M6</xm:sqref>
        </x14:conditionalFormatting>
        <x14:conditionalFormatting xmlns:xm="http://schemas.microsoft.com/office/excel/2006/main">
          <x14:cfRule type="containsText" priority="9" operator="containsText" id="{80DF2AD6-3C13-463A-A5AF-ED958F876947}">
            <xm:f>NOT(ISERROR(SEARCH(Data!$B$18,D4)))</xm:f>
            <xm:f>Data!$B$18</xm:f>
            <x14:dxf>
              <font>
                <color rgb="FF006100"/>
              </font>
              <fill>
                <patternFill>
                  <bgColor rgb="FFC6EFCE"/>
                </patternFill>
              </fill>
            </x14:dxf>
          </x14:cfRule>
          <x14:cfRule type="containsText" priority="10" operator="containsText" id="{5E2FAE0D-B4D0-4F0E-B0EA-E255A58C94B0}">
            <xm:f>NOT(ISERROR(SEARCH(Data!$B$16,D4)))</xm:f>
            <xm:f>Data!$B$16</xm:f>
            <x14:dxf>
              <font>
                <color rgb="FF9C0006"/>
              </font>
              <fill>
                <patternFill>
                  <bgColor rgb="FFFFC7CE"/>
                </patternFill>
              </fill>
            </x14:dxf>
          </x14:cfRule>
          <xm:sqref>D4:I8</xm:sqref>
        </x14:conditionalFormatting>
        <x14:conditionalFormatting xmlns:xm="http://schemas.microsoft.com/office/excel/2006/main">
          <x14:cfRule type="iconSet" priority="7" id="{36A6BA69-6ED3-43B0-8A16-40CBD6B60DEF}">
            <x14:iconSet iconSet="3Symbols" custom="1">
              <x14:cfvo type="percent">
                <xm:f>0</xm:f>
              </x14:cfvo>
              <x14:cfvo type="num">
                <xm:f>0</xm:f>
              </x14:cfvo>
              <x14:cfvo type="num">
                <xm:f>0</xm:f>
              </x14:cfvo>
              <x14:cfIcon iconSet="3Symbols" iconId="0"/>
              <x14:cfIcon iconSet="3Symbols" iconId="1"/>
              <x14:cfIcon iconSet="3Symbols" iconId="0"/>
            </x14:iconSet>
          </x14:cfRule>
          <xm:sqref>Q4</xm:sqref>
        </x14:conditionalFormatting>
        <x14:conditionalFormatting xmlns:xm="http://schemas.microsoft.com/office/excel/2006/main">
          <x14:cfRule type="iconSet" priority="6" id="{3901CA57-79C8-4263-923B-03BD9E62AE27}">
            <x14:iconSet iconSet="3Symbols" custom="1">
              <x14:cfvo type="percent">
                <xm:f>0</xm:f>
              </x14:cfvo>
              <x14:cfvo type="num">
                <xm:f>0</xm:f>
              </x14:cfvo>
              <x14:cfvo type="num">
                <xm:f>0</xm:f>
              </x14:cfvo>
              <x14:cfIcon iconSet="3Symbols" iconId="0"/>
              <x14:cfIcon iconSet="3Symbols" iconId="1"/>
              <x14:cfIcon iconSet="3Symbols" iconId="1"/>
            </x14:iconSet>
          </x14:cfRule>
          <xm:sqref>Q5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AA362"/>
  <sheetViews>
    <sheetView showGridLines="0" topLeftCell="J378" zoomScale="55" zoomScaleNormal="55" workbookViewId="0">
      <selection activeCell="AH115" sqref="AH115"/>
    </sheetView>
  </sheetViews>
  <sheetFormatPr baseColWidth="10" defaultRowHeight="15" x14ac:dyDescent="0.25"/>
  <cols>
    <col min="8" max="8" width="31.7109375" customWidth="1"/>
    <col min="10" max="10" width="15.140625" bestFit="1" customWidth="1"/>
    <col min="22" max="22" width="18" customWidth="1"/>
    <col min="24" max="24" width="21.140625" customWidth="1"/>
  </cols>
  <sheetData>
    <row r="1" spans="1:15" s="13" customFormat="1" ht="30" x14ac:dyDescent="0.25">
      <c r="A1" s="6"/>
      <c r="B1" s="13" t="s">
        <v>37</v>
      </c>
      <c r="C1" s="13" t="s">
        <v>38</v>
      </c>
      <c r="D1" s="13" t="s">
        <v>31</v>
      </c>
      <c r="E1" s="3" t="s">
        <v>44</v>
      </c>
      <c r="F1" s="3" t="s">
        <v>45</v>
      </c>
      <c r="G1" s="3" t="s">
        <v>46</v>
      </c>
      <c r="H1" s="15" t="s">
        <v>41</v>
      </c>
      <c r="I1" s="15" t="s">
        <v>42</v>
      </c>
      <c r="J1" s="15" t="s">
        <v>43</v>
      </c>
      <c r="N1" s="13" t="s">
        <v>48</v>
      </c>
    </row>
    <row r="2" spans="1:15" x14ac:dyDescent="0.25">
      <c r="A2" s="7" t="s">
        <v>39</v>
      </c>
      <c r="B2" s="2" t="str">
        <f>'APPLIES-preparation'!B6</f>
        <v>Operational</v>
      </c>
      <c r="C2" s="2" t="str">
        <f>'APPLIES-preparation'!D6</f>
        <v>Commitment of key actors</v>
      </c>
      <c r="D2" s="9">
        <f>'APPLIES-preparation'!AC6</f>
        <v>0</v>
      </c>
      <c r="E2" s="2">
        <f>'APPLIES-preparation'!W6</f>
        <v>3</v>
      </c>
      <c r="F2" s="2">
        <f>'APPLIES-preparation'!X6</f>
        <v>0</v>
      </c>
      <c r="G2" s="2">
        <f>AVERAGE(E2:F2)</f>
        <v>1.5</v>
      </c>
      <c r="H2" s="16" t="str">
        <f>_xlfn.CONCAT(A2,C2)</f>
        <v>Op.Commitment of key actors</v>
      </c>
      <c r="I2" s="17">
        <f>D2</f>
        <v>0</v>
      </c>
      <c r="J2" s="8">
        <f>G2</f>
        <v>1.5</v>
      </c>
      <c r="K2" t="s">
        <v>49</v>
      </c>
      <c r="N2" s="3">
        <v>1</v>
      </c>
      <c r="O2" s="3">
        <v>1</v>
      </c>
    </row>
    <row r="3" spans="1:15" x14ac:dyDescent="0.25">
      <c r="A3" s="7" t="s">
        <v>39</v>
      </c>
      <c r="B3" s="12" t="str">
        <f>'APPLIES-preparation'!B12</f>
        <v>Operational</v>
      </c>
      <c r="C3" t="str">
        <f>'APPLIES-preparation'!D12</f>
        <v>Domain knowledge</v>
      </c>
      <c r="D3" s="9">
        <f>'APPLIES-preparation'!AC12</f>
        <v>0</v>
      </c>
      <c r="E3" s="2">
        <f>'APPLIES-preparation'!W12</f>
        <v>3</v>
      </c>
      <c r="F3" s="2">
        <f>'APPLIES-preparation'!X12</f>
        <v>0</v>
      </c>
      <c r="G3" s="2">
        <f t="shared" ref="G3:G8" si="0">AVERAGE(E3:F3)</f>
        <v>1.5</v>
      </c>
      <c r="H3" s="16" t="str">
        <f t="shared" ref="H3:H8" si="1">_xlfn.CONCAT(A3,C3)</f>
        <v>Op.Domain knowledge</v>
      </c>
      <c r="I3" s="17">
        <f t="shared" ref="I3:I8" si="2">D3</f>
        <v>0</v>
      </c>
      <c r="J3" s="8">
        <f t="shared" ref="J3:J8" si="3">G3</f>
        <v>1.5</v>
      </c>
      <c r="K3" t="s">
        <v>50</v>
      </c>
      <c r="N3" s="2">
        <v>1</v>
      </c>
      <c r="O3" s="2">
        <v>2</v>
      </c>
    </row>
    <row r="4" spans="1:15" x14ac:dyDescent="0.25">
      <c r="A4" s="7" t="s">
        <v>39</v>
      </c>
      <c r="B4" s="12" t="str">
        <f>'APPLIES-preparation'!B18</f>
        <v>Operational</v>
      </c>
      <c r="C4" t="str">
        <f>'APPLIES-preparation'!D18</f>
        <v>Market potential</v>
      </c>
      <c r="D4" s="9">
        <f>'APPLIES-preparation'!AC18</f>
        <v>0</v>
      </c>
      <c r="E4" s="2">
        <f>'APPLIES-preparation'!W18</f>
        <v>3</v>
      </c>
      <c r="F4" s="2">
        <f>'APPLIES-preparation'!X18</f>
        <v>0</v>
      </c>
      <c r="G4" s="2">
        <f t="shared" si="0"/>
        <v>1.5</v>
      </c>
      <c r="H4" s="16" t="str">
        <f t="shared" si="1"/>
        <v>Op.Market potential</v>
      </c>
      <c r="I4" s="17">
        <f t="shared" si="2"/>
        <v>0</v>
      </c>
      <c r="J4" s="8">
        <f t="shared" si="3"/>
        <v>1.5</v>
      </c>
      <c r="K4" t="s">
        <v>50</v>
      </c>
      <c r="N4" s="2">
        <v>2</v>
      </c>
      <c r="O4" s="2">
        <v>3</v>
      </c>
    </row>
    <row r="5" spans="1:15" x14ac:dyDescent="0.25">
      <c r="A5" s="7" t="s">
        <v>39</v>
      </c>
      <c r="B5" s="12" t="str">
        <f>'APPLIES-preparation'!B22</f>
        <v>Operational</v>
      </c>
      <c r="C5" t="str">
        <f>'APPLIES-preparation'!D22</f>
        <v>Openness</v>
      </c>
      <c r="D5" s="9">
        <f>'APPLIES-preparation'!AC22</f>
        <v>0</v>
      </c>
      <c r="E5" s="2">
        <f>'APPLIES-preparation'!W22</f>
        <v>3</v>
      </c>
      <c r="F5" s="2">
        <f>'APPLIES-preparation'!X22</f>
        <v>0</v>
      </c>
      <c r="G5" s="2">
        <f t="shared" si="0"/>
        <v>1.5</v>
      </c>
      <c r="H5" s="16" t="str">
        <f t="shared" si="1"/>
        <v>Op.Openness</v>
      </c>
      <c r="I5" s="17">
        <f t="shared" si="2"/>
        <v>0</v>
      </c>
      <c r="J5" s="8">
        <f t="shared" si="3"/>
        <v>1.5</v>
      </c>
      <c r="K5" t="s">
        <v>51</v>
      </c>
      <c r="N5" s="2">
        <v>2</v>
      </c>
      <c r="O5" s="2">
        <v>3</v>
      </c>
    </row>
    <row r="6" spans="1:15" x14ac:dyDescent="0.25">
      <c r="A6" s="7" t="s">
        <v>39</v>
      </c>
      <c r="B6" s="12" t="str">
        <f>'APPLIES-preparation'!B25</f>
        <v>Operational</v>
      </c>
      <c r="C6" t="str">
        <f>'APPLIES-preparation'!D25</f>
        <v>Organizational support</v>
      </c>
      <c r="D6" s="9">
        <f>'APPLIES-preparation'!AC25</f>
        <v>0</v>
      </c>
      <c r="E6" s="2">
        <f>'APPLIES-preparation'!W25</f>
        <v>3</v>
      </c>
      <c r="F6" s="2">
        <f>'APPLIES-preparation'!X25</f>
        <v>0</v>
      </c>
      <c r="G6" s="2">
        <f t="shared" si="0"/>
        <v>1.5</v>
      </c>
      <c r="H6" s="16" t="str">
        <f t="shared" si="1"/>
        <v>Op.Organizational support</v>
      </c>
      <c r="I6" s="17">
        <f t="shared" si="2"/>
        <v>0</v>
      </c>
      <c r="J6" s="8">
        <f t="shared" si="3"/>
        <v>1.5</v>
      </c>
      <c r="K6" t="s">
        <v>52</v>
      </c>
      <c r="N6" s="2">
        <v>3</v>
      </c>
      <c r="O6" s="2">
        <v>4</v>
      </c>
    </row>
    <row r="7" spans="1:15" x14ac:dyDescent="0.25">
      <c r="A7" s="7" t="s">
        <v>40</v>
      </c>
      <c r="B7" s="12" t="str">
        <f>'APPLIES-preparation'!B42</f>
        <v>Technical</v>
      </c>
      <c r="C7" t="str">
        <f>'APPLIES-preparation'!D42</f>
        <v>Commonality and variability</v>
      </c>
      <c r="D7" s="9">
        <f>'APPLIES-preparation'!AC38</f>
        <v>0</v>
      </c>
      <c r="E7" s="2">
        <f>'APPLIES-preparation'!W38</f>
        <v>3</v>
      </c>
      <c r="F7" s="2">
        <f>'APPLIES-preparation'!X38</f>
        <v>0</v>
      </c>
      <c r="G7" s="2">
        <f t="shared" si="0"/>
        <v>1.5</v>
      </c>
      <c r="H7" s="16" t="str">
        <f t="shared" si="1"/>
        <v>Tech.Commonality and variability</v>
      </c>
      <c r="I7" s="17">
        <f t="shared" si="2"/>
        <v>0</v>
      </c>
      <c r="J7" s="8">
        <f t="shared" si="3"/>
        <v>1.5</v>
      </c>
      <c r="K7" t="s">
        <v>50</v>
      </c>
      <c r="N7" s="2"/>
      <c r="O7" s="2"/>
    </row>
    <row r="8" spans="1:15" x14ac:dyDescent="0.25">
      <c r="A8" s="7" t="s">
        <v>40</v>
      </c>
      <c r="B8" s="12" t="str">
        <f>'APPLIES-preparation'!B46</f>
        <v>Technical</v>
      </c>
      <c r="C8" t="str">
        <f>'APPLIES-preparation'!D46</f>
        <v>Reuse aptitute</v>
      </c>
      <c r="D8" s="9" t="e">
        <f>'APPLIES-preparation'!#REF!</f>
        <v>#REF!</v>
      </c>
      <c r="E8" s="2" t="e">
        <f>'APPLIES-preparation'!#REF!</f>
        <v>#REF!</v>
      </c>
      <c r="F8" s="2" t="e">
        <f>'APPLIES-preparation'!#REF!</f>
        <v>#REF!</v>
      </c>
      <c r="G8" s="2" t="e">
        <f t="shared" si="0"/>
        <v>#REF!</v>
      </c>
      <c r="H8" s="16" t="str">
        <f t="shared" si="1"/>
        <v>Tech.Reuse aptitute</v>
      </c>
      <c r="I8" s="17" t="e">
        <f t="shared" si="2"/>
        <v>#REF!</v>
      </c>
      <c r="J8" s="8" t="e">
        <f t="shared" si="3"/>
        <v>#REF!</v>
      </c>
      <c r="K8" t="s">
        <v>49</v>
      </c>
    </row>
    <row r="13" spans="1:15" ht="15.75" customHeight="1" x14ac:dyDescent="0.25"/>
    <row r="14" spans="1:15" ht="30" x14ac:dyDescent="0.25">
      <c r="A14" s="19" t="s">
        <v>41</v>
      </c>
      <c r="B14" s="19" t="s">
        <v>1</v>
      </c>
      <c r="C14" s="1" t="s">
        <v>78</v>
      </c>
      <c r="D14" s="1" t="s">
        <v>77</v>
      </c>
    </row>
    <row r="15" spans="1:15" x14ac:dyDescent="0.25">
      <c r="A15" t="s">
        <v>57</v>
      </c>
      <c r="B15" t="s">
        <v>34</v>
      </c>
      <c r="C15">
        <v>2</v>
      </c>
      <c r="D15">
        <v>4</v>
      </c>
    </row>
    <row r="16" spans="1:15" x14ac:dyDescent="0.25">
      <c r="A16" t="s">
        <v>58</v>
      </c>
      <c r="B16" t="s">
        <v>34</v>
      </c>
      <c r="C16">
        <v>2</v>
      </c>
      <c r="D16">
        <v>3.8</v>
      </c>
    </row>
    <row r="17" spans="1:4" x14ac:dyDescent="0.25">
      <c r="A17" s="18" t="s">
        <v>76</v>
      </c>
      <c r="B17" t="s">
        <v>34</v>
      </c>
      <c r="C17">
        <v>1</v>
      </c>
      <c r="D17">
        <v>4.9000000000000004</v>
      </c>
    </row>
    <row r="18" spans="1:4" x14ac:dyDescent="0.25">
      <c r="A18" s="10" t="s">
        <v>61</v>
      </c>
      <c r="B18" t="s">
        <v>34</v>
      </c>
      <c r="C18">
        <v>1</v>
      </c>
      <c r="D18">
        <v>4.7</v>
      </c>
    </row>
    <row r="19" spans="1:4" x14ac:dyDescent="0.25">
      <c r="A19" s="18" t="s">
        <v>75</v>
      </c>
      <c r="B19" t="s">
        <v>34</v>
      </c>
      <c r="C19">
        <v>1</v>
      </c>
      <c r="D19">
        <v>3</v>
      </c>
    </row>
    <row r="20" spans="1:4" x14ac:dyDescent="0.25">
      <c r="A20" s="10" t="s">
        <v>59</v>
      </c>
      <c r="B20" t="s">
        <v>34</v>
      </c>
      <c r="C20">
        <v>0.5</v>
      </c>
      <c r="D20">
        <v>4.3</v>
      </c>
    </row>
    <row r="21" spans="1:4" x14ac:dyDescent="0.25">
      <c r="A21" t="s">
        <v>66</v>
      </c>
      <c r="B21" t="s">
        <v>34</v>
      </c>
      <c r="C21">
        <v>1</v>
      </c>
      <c r="D21">
        <v>2.9</v>
      </c>
    </row>
    <row r="22" spans="1:4" x14ac:dyDescent="0.25">
      <c r="A22" t="s">
        <v>67</v>
      </c>
      <c r="B22" t="s">
        <v>34</v>
      </c>
      <c r="C22">
        <v>3</v>
      </c>
      <c r="D22">
        <v>1.9</v>
      </c>
    </row>
    <row r="23" spans="1:4" x14ac:dyDescent="0.25">
      <c r="A23" s="10" t="s">
        <v>60</v>
      </c>
      <c r="B23" t="s">
        <v>34</v>
      </c>
      <c r="C23">
        <v>1.5</v>
      </c>
      <c r="D23">
        <v>1.7</v>
      </c>
    </row>
    <row r="24" spans="1:4" x14ac:dyDescent="0.25">
      <c r="A24" t="s">
        <v>54</v>
      </c>
      <c r="B24" t="s">
        <v>33</v>
      </c>
      <c r="C24">
        <v>3</v>
      </c>
      <c r="D24">
        <v>5</v>
      </c>
    </row>
    <row r="25" spans="1:4" x14ac:dyDescent="0.25">
      <c r="A25" s="10" t="s">
        <v>62</v>
      </c>
      <c r="B25" t="s">
        <v>33</v>
      </c>
      <c r="C25">
        <v>1.5</v>
      </c>
      <c r="D25">
        <v>4.3</v>
      </c>
    </row>
    <row r="26" spans="1:4" x14ac:dyDescent="0.25">
      <c r="A26" s="10" t="s">
        <v>63</v>
      </c>
      <c r="B26" t="s">
        <v>33</v>
      </c>
      <c r="C26">
        <v>2</v>
      </c>
      <c r="D26">
        <v>4.0999999999999996</v>
      </c>
    </row>
    <row r="27" spans="1:4" x14ac:dyDescent="0.25">
      <c r="A27" t="s">
        <v>56</v>
      </c>
      <c r="B27" t="s">
        <v>33</v>
      </c>
      <c r="C27">
        <v>2.5</v>
      </c>
      <c r="D27">
        <v>3.9</v>
      </c>
    </row>
    <row r="28" spans="1:4" x14ac:dyDescent="0.25">
      <c r="A28" s="10" t="s">
        <v>64</v>
      </c>
      <c r="B28" t="s">
        <v>33</v>
      </c>
      <c r="C28">
        <v>3</v>
      </c>
      <c r="D28">
        <v>3.75</v>
      </c>
    </row>
    <row r="29" spans="1:4" x14ac:dyDescent="0.25">
      <c r="A29" s="18" t="s">
        <v>70</v>
      </c>
      <c r="B29" t="s">
        <v>33</v>
      </c>
      <c r="C29">
        <v>1</v>
      </c>
      <c r="D29">
        <v>3.3</v>
      </c>
    </row>
    <row r="30" spans="1:4" x14ac:dyDescent="0.25">
      <c r="A30" s="18" t="s">
        <v>69</v>
      </c>
      <c r="B30" t="s">
        <v>33</v>
      </c>
      <c r="C30">
        <v>2</v>
      </c>
      <c r="D30">
        <v>3.1</v>
      </c>
    </row>
    <row r="31" spans="1:4" x14ac:dyDescent="0.25">
      <c r="A31" s="10" t="s">
        <v>65</v>
      </c>
      <c r="B31" t="s">
        <v>33</v>
      </c>
      <c r="C31">
        <v>2.5</v>
      </c>
      <c r="D31">
        <v>2.9</v>
      </c>
    </row>
    <row r="32" spans="1:4" x14ac:dyDescent="0.25">
      <c r="A32" s="18" t="s">
        <v>68</v>
      </c>
      <c r="B32" t="s">
        <v>33</v>
      </c>
      <c r="C32">
        <v>2</v>
      </c>
      <c r="D32">
        <v>2.7</v>
      </c>
    </row>
    <row r="33" spans="1:4" x14ac:dyDescent="0.25">
      <c r="A33" s="18" t="s">
        <v>73</v>
      </c>
      <c r="B33" t="s">
        <v>33</v>
      </c>
      <c r="C33">
        <v>2.5</v>
      </c>
      <c r="D33">
        <v>2.65</v>
      </c>
    </row>
    <row r="34" spans="1:4" x14ac:dyDescent="0.25">
      <c r="A34" t="s">
        <v>55</v>
      </c>
      <c r="B34" t="s">
        <v>33</v>
      </c>
      <c r="C34">
        <v>2.5</v>
      </c>
      <c r="D34">
        <v>2.5</v>
      </c>
    </row>
    <row r="35" spans="1:4" x14ac:dyDescent="0.25">
      <c r="A35" s="18" t="s">
        <v>74</v>
      </c>
      <c r="B35" t="s">
        <v>33</v>
      </c>
      <c r="C35">
        <v>3</v>
      </c>
      <c r="D35">
        <v>2.4500000000000002</v>
      </c>
    </row>
    <row r="36" spans="1:4" x14ac:dyDescent="0.25">
      <c r="A36" s="18" t="s">
        <v>72</v>
      </c>
      <c r="B36" t="s">
        <v>33</v>
      </c>
      <c r="C36">
        <v>0.5</v>
      </c>
      <c r="D36">
        <v>1.9</v>
      </c>
    </row>
    <row r="37" spans="1:4" x14ac:dyDescent="0.25">
      <c r="A37" t="s">
        <v>53</v>
      </c>
      <c r="B37" t="s">
        <v>33</v>
      </c>
      <c r="C37">
        <v>3</v>
      </c>
      <c r="D37">
        <v>1.5</v>
      </c>
    </row>
    <row r="38" spans="1:4" x14ac:dyDescent="0.25">
      <c r="A38" s="18" t="s">
        <v>71</v>
      </c>
      <c r="B38" t="s">
        <v>33</v>
      </c>
      <c r="C38">
        <v>1</v>
      </c>
      <c r="D38">
        <v>1</v>
      </c>
    </row>
    <row r="109" spans="1:24" x14ac:dyDescent="0.25">
      <c r="A109" s="370" t="s">
        <v>82</v>
      </c>
      <c r="B109" s="370"/>
      <c r="C109" s="370"/>
      <c r="D109" s="370"/>
      <c r="H109" s="373" t="s">
        <v>85</v>
      </c>
      <c r="I109" s="373"/>
      <c r="J109" s="373"/>
      <c r="K109" s="373"/>
    </row>
    <row r="110" spans="1:24" ht="27.75" x14ac:dyDescent="0.35">
      <c r="A110" s="20" t="s">
        <v>41</v>
      </c>
      <c r="B110" s="20" t="s">
        <v>81</v>
      </c>
      <c r="C110" s="20" t="s">
        <v>78</v>
      </c>
      <c r="D110" s="20" t="s">
        <v>77</v>
      </c>
      <c r="E110" s="20" t="s">
        <v>1</v>
      </c>
      <c r="H110" s="20" t="s">
        <v>41</v>
      </c>
      <c r="I110" s="20" t="s">
        <v>78</v>
      </c>
      <c r="J110" s="20" t="s">
        <v>77</v>
      </c>
      <c r="K110" s="20" t="s">
        <v>81</v>
      </c>
      <c r="L110" s="20" t="s">
        <v>1</v>
      </c>
      <c r="U110" s="10"/>
      <c r="W110" s="27" t="s">
        <v>100</v>
      </c>
      <c r="X110" s="21"/>
    </row>
    <row r="111" spans="1:24" ht="30" x14ac:dyDescent="0.25">
      <c r="A111" s="33" t="s">
        <v>215</v>
      </c>
      <c r="B111" s="1" t="s">
        <v>79</v>
      </c>
      <c r="C111">
        <v>2</v>
      </c>
      <c r="D111">
        <v>3.9</v>
      </c>
      <c r="E111" t="s">
        <v>34</v>
      </c>
      <c r="H111" s="41" t="s">
        <v>214</v>
      </c>
      <c r="I111">
        <v>2</v>
      </c>
      <c r="J111">
        <v>4.5</v>
      </c>
      <c r="K111" s="374"/>
      <c r="L111" t="s">
        <v>33</v>
      </c>
    </row>
    <row r="112" spans="1:24" ht="30" x14ac:dyDescent="0.25">
      <c r="B112" s="1"/>
      <c r="H112" s="41" t="s">
        <v>213</v>
      </c>
      <c r="I112">
        <v>2</v>
      </c>
      <c r="J112">
        <v>4</v>
      </c>
      <c r="K112" s="374"/>
      <c r="L112" t="s">
        <v>33</v>
      </c>
    </row>
    <row r="113" spans="1:12" x14ac:dyDescent="0.25">
      <c r="A113" s="18"/>
      <c r="B113" s="14"/>
      <c r="H113" s="39" t="s">
        <v>127</v>
      </c>
      <c r="I113">
        <v>3</v>
      </c>
      <c r="J113">
        <v>4.5</v>
      </c>
      <c r="K113" s="374"/>
      <c r="L113" t="s">
        <v>33</v>
      </c>
    </row>
    <row r="114" spans="1:12" x14ac:dyDescent="0.25">
      <c r="A114" s="10"/>
      <c r="B114" s="14"/>
      <c r="H114" s="42" t="s">
        <v>220</v>
      </c>
      <c r="I114">
        <v>1</v>
      </c>
      <c r="J114">
        <v>4.2</v>
      </c>
      <c r="K114" s="374"/>
      <c r="L114" t="s">
        <v>33</v>
      </c>
    </row>
    <row r="115" spans="1:12" ht="30" x14ac:dyDescent="0.25">
      <c r="A115" s="10"/>
      <c r="B115" s="3"/>
      <c r="H115" s="43" t="s">
        <v>225</v>
      </c>
      <c r="I115">
        <v>2</v>
      </c>
      <c r="J115">
        <v>4</v>
      </c>
      <c r="K115" s="374"/>
      <c r="L115" t="s">
        <v>33</v>
      </c>
    </row>
    <row r="116" spans="1:12" ht="30" x14ac:dyDescent="0.25">
      <c r="H116" s="44" t="s">
        <v>223</v>
      </c>
      <c r="I116">
        <v>2</v>
      </c>
      <c r="J116">
        <v>3.5</v>
      </c>
      <c r="K116" s="374"/>
      <c r="L116" t="s">
        <v>33</v>
      </c>
    </row>
    <row r="117" spans="1:12" x14ac:dyDescent="0.25">
      <c r="H117" s="40" t="s">
        <v>140</v>
      </c>
      <c r="I117">
        <v>1</v>
      </c>
      <c r="J117">
        <v>4.7</v>
      </c>
      <c r="K117" s="374"/>
      <c r="L117" t="s">
        <v>33</v>
      </c>
    </row>
    <row r="118" spans="1:12" x14ac:dyDescent="0.25">
      <c r="H118" s="18"/>
      <c r="K118" s="36"/>
    </row>
    <row r="119" spans="1:12" x14ac:dyDescent="0.25">
      <c r="H119" s="18"/>
      <c r="K119" s="36"/>
    </row>
    <row r="121" spans="1:12" x14ac:dyDescent="0.25">
      <c r="A121" s="373" t="s">
        <v>84</v>
      </c>
      <c r="B121" s="373"/>
      <c r="C121" s="373"/>
      <c r="D121" s="373"/>
      <c r="H121" s="371" t="s">
        <v>83</v>
      </c>
      <c r="I121" s="371"/>
      <c r="J121" s="371"/>
      <c r="K121" s="371"/>
    </row>
    <row r="122" spans="1:12" ht="26.25" x14ac:dyDescent="0.25">
      <c r="A122" s="20" t="s">
        <v>41</v>
      </c>
      <c r="B122" s="20" t="s">
        <v>78</v>
      </c>
      <c r="C122" s="20" t="s">
        <v>77</v>
      </c>
      <c r="D122" s="20" t="s">
        <v>81</v>
      </c>
      <c r="E122" s="20" t="s">
        <v>1</v>
      </c>
      <c r="H122" s="20" t="s">
        <v>41</v>
      </c>
      <c r="I122" s="20" t="s">
        <v>78</v>
      </c>
      <c r="J122" s="20" t="s">
        <v>77</v>
      </c>
      <c r="K122" s="20" t="s">
        <v>81</v>
      </c>
      <c r="L122" s="20" t="s">
        <v>1</v>
      </c>
    </row>
    <row r="123" spans="1:12" x14ac:dyDescent="0.25">
      <c r="D123" s="1"/>
      <c r="H123" s="33" t="s">
        <v>7</v>
      </c>
      <c r="I123" s="32">
        <v>3</v>
      </c>
      <c r="J123" s="32">
        <v>1</v>
      </c>
      <c r="K123" s="372"/>
    </row>
    <row r="124" spans="1:12" x14ac:dyDescent="0.25">
      <c r="A124" s="10"/>
      <c r="D124" s="1"/>
      <c r="H124" s="32" t="s">
        <v>218</v>
      </c>
      <c r="I124" s="32">
        <v>2</v>
      </c>
      <c r="J124" s="32">
        <v>2.8</v>
      </c>
      <c r="K124" s="372"/>
    </row>
    <row r="125" spans="1:12" x14ac:dyDescent="0.25">
      <c r="D125" s="1"/>
      <c r="H125" s="33" t="s">
        <v>216</v>
      </c>
      <c r="I125" s="32">
        <v>2</v>
      </c>
      <c r="J125" s="32">
        <v>0.5</v>
      </c>
      <c r="K125" s="372"/>
    </row>
    <row r="126" spans="1:12" x14ac:dyDescent="0.25">
      <c r="A126" s="18"/>
      <c r="D126" s="14"/>
      <c r="H126" s="32" t="s">
        <v>6</v>
      </c>
      <c r="I126" s="32">
        <v>2</v>
      </c>
      <c r="J126" s="32">
        <v>2.5</v>
      </c>
      <c r="K126" s="372"/>
    </row>
    <row r="127" spans="1:12" x14ac:dyDescent="0.25">
      <c r="H127" s="32" t="s">
        <v>212</v>
      </c>
      <c r="I127" s="32">
        <v>1</v>
      </c>
      <c r="J127" s="32">
        <v>2</v>
      </c>
      <c r="K127" s="372"/>
    </row>
    <row r="128" spans="1:12" ht="30" x14ac:dyDescent="0.25">
      <c r="H128" s="45" t="s">
        <v>221</v>
      </c>
      <c r="I128" s="32">
        <v>3</v>
      </c>
      <c r="J128" s="32">
        <v>2.65</v>
      </c>
      <c r="K128" s="372"/>
    </row>
    <row r="129" spans="1:11" ht="30" x14ac:dyDescent="0.25">
      <c r="H129" s="45" t="s">
        <v>222</v>
      </c>
      <c r="I129" s="32">
        <v>2</v>
      </c>
      <c r="J129" s="32">
        <v>2</v>
      </c>
      <c r="K129" s="14"/>
    </row>
    <row r="130" spans="1:11" x14ac:dyDescent="0.25">
      <c r="H130" s="45" t="s">
        <v>111</v>
      </c>
      <c r="I130" s="32">
        <v>2</v>
      </c>
      <c r="J130" s="32">
        <v>1.9</v>
      </c>
      <c r="K130" s="14"/>
    </row>
    <row r="131" spans="1:11" ht="30" x14ac:dyDescent="0.25">
      <c r="G131" s="35"/>
      <c r="H131" s="33" t="s">
        <v>217</v>
      </c>
      <c r="I131" s="33">
        <v>3</v>
      </c>
      <c r="J131" s="34">
        <v>1.6</v>
      </c>
    </row>
    <row r="132" spans="1:11" x14ac:dyDescent="0.25">
      <c r="A132" s="20"/>
      <c r="B132" s="20"/>
      <c r="C132" s="20"/>
      <c r="D132" s="20"/>
      <c r="E132" s="20"/>
      <c r="F132" s="20"/>
      <c r="G132" s="20"/>
      <c r="H132" s="20"/>
      <c r="I132" s="20"/>
    </row>
    <row r="133" spans="1:11" x14ac:dyDescent="0.25">
      <c r="D133" s="18"/>
      <c r="G133" s="10"/>
      <c r="J133" s="3"/>
    </row>
    <row r="134" spans="1:11" x14ac:dyDescent="0.25">
      <c r="D134" s="10"/>
    </row>
    <row r="135" spans="1:11" x14ac:dyDescent="0.25">
      <c r="D135" s="18"/>
    </row>
    <row r="172" spans="24:27" x14ac:dyDescent="0.25">
      <c r="X172" s="10"/>
      <c r="AA172" s="22"/>
    </row>
    <row r="201" spans="4:8" x14ac:dyDescent="0.25">
      <c r="D201" s="370"/>
      <c r="E201" s="370"/>
      <c r="F201" s="370"/>
      <c r="G201" s="370"/>
    </row>
    <row r="202" spans="4:8" x14ac:dyDescent="0.25">
      <c r="E202" s="20"/>
      <c r="F202" s="20"/>
      <c r="G202" s="20"/>
      <c r="H202" s="20"/>
    </row>
    <row r="203" spans="4:8" x14ac:dyDescent="0.25">
      <c r="E203" s="374"/>
    </row>
    <row r="204" spans="4:8" x14ac:dyDescent="0.25">
      <c r="E204" s="374"/>
    </row>
    <row r="205" spans="4:8" x14ac:dyDescent="0.25">
      <c r="E205" s="375"/>
      <c r="G205" s="18"/>
    </row>
    <row r="206" spans="4:8" x14ac:dyDescent="0.25">
      <c r="E206" s="375"/>
      <c r="G206" s="10"/>
    </row>
    <row r="207" spans="4:8" x14ac:dyDescent="0.25">
      <c r="E207" s="21"/>
      <c r="G207" s="10"/>
    </row>
    <row r="216" spans="7:25" x14ac:dyDescent="0.25">
      <c r="V216" s="10"/>
      <c r="Y216" s="22"/>
    </row>
    <row r="217" spans="7:25" x14ac:dyDescent="0.25">
      <c r="G217" s="20"/>
      <c r="H217" s="20"/>
      <c r="I217" s="20"/>
    </row>
    <row r="218" spans="7:25" x14ac:dyDescent="0.25">
      <c r="G218" s="10"/>
      <c r="J218" s="21"/>
    </row>
    <row r="221" spans="7:25" x14ac:dyDescent="0.25">
      <c r="V221" s="10"/>
      <c r="Y221" s="22"/>
    </row>
    <row r="265" spans="1:12" x14ac:dyDescent="0.25">
      <c r="A265" s="370" t="s">
        <v>82</v>
      </c>
      <c r="B265" s="370"/>
      <c r="C265" s="370"/>
      <c r="D265" s="370"/>
      <c r="H265" s="373" t="s">
        <v>85</v>
      </c>
      <c r="I265" s="373"/>
      <c r="J265" s="373"/>
      <c r="K265" s="373"/>
    </row>
    <row r="266" spans="1:12" ht="26.25" x14ac:dyDescent="0.25">
      <c r="A266" s="20" t="s">
        <v>41</v>
      </c>
      <c r="B266" s="20" t="s">
        <v>81</v>
      </c>
      <c r="C266" s="20" t="s">
        <v>78</v>
      </c>
      <c r="D266" s="20" t="s">
        <v>77</v>
      </c>
      <c r="E266" s="20" t="s">
        <v>1</v>
      </c>
      <c r="H266" s="20" t="s">
        <v>41</v>
      </c>
      <c r="I266" s="20" t="s">
        <v>78</v>
      </c>
      <c r="J266" s="20" t="s">
        <v>77</v>
      </c>
      <c r="K266" s="20" t="s">
        <v>81</v>
      </c>
      <c r="L266" s="20" t="s">
        <v>1</v>
      </c>
    </row>
    <row r="267" spans="1:12" ht="30" x14ac:dyDescent="0.25">
      <c r="A267" s="33" t="s">
        <v>215</v>
      </c>
      <c r="B267" s="1" t="s">
        <v>79</v>
      </c>
      <c r="C267">
        <v>2</v>
      </c>
      <c r="D267">
        <v>3.9</v>
      </c>
      <c r="E267" t="s">
        <v>34</v>
      </c>
      <c r="H267" s="41" t="s">
        <v>214</v>
      </c>
      <c r="I267">
        <v>2</v>
      </c>
      <c r="J267">
        <v>4.5</v>
      </c>
      <c r="K267" s="374"/>
      <c r="L267" t="s">
        <v>33</v>
      </c>
    </row>
    <row r="268" spans="1:12" ht="30" x14ac:dyDescent="0.25">
      <c r="B268" s="1"/>
      <c r="H268" s="41" t="s">
        <v>213</v>
      </c>
      <c r="I268">
        <v>2</v>
      </c>
      <c r="J268">
        <v>4</v>
      </c>
      <c r="K268" s="374"/>
      <c r="L268" t="s">
        <v>33</v>
      </c>
    </row>
    <row r="269" spans="1:12" x14ac:dyDescent="0.25">
      <c r="A269" s="18"/>
      <c r="B269" s="23"/>
      <c r="H269" s="39" t="s">
        <v>127</v>
      </c>
      <c r="I269">
        <v>3</v>
      </c>
      <c r="J269">
        <v>4.5</v>
      </c>
      <c r="K269" s="374"/>
      <c r="L269" t="s">
        <v>33</v>
      </c>
    </row>
    <row r="270" spans="1:12" x14ac:dyDescent="0.25">
      <c r="A270" s="10"/>
      <c r="B270" s="23"/>
      <c r="H270" s="42" t="s">
        <v>220</v>
      </c>
      <c r="I270">
        <v>1</v>
      </c>
      <c r="J270">
        <v>4.2</v>
      </c>
      <c r="K270" s="374"/>
      <c r="L270" t="s">
        <v>33</v>
      </c>
    </row>
    <row r="271" spans="1:12" ht="30" x14ac:dyDescent="0.25">
      <c r="A271" s="10"/>
      <c r="B271" s="22"/>
      <c r="H271" s="43" t="s">
        <v>225</v>
      </c>
      <c r="I271">
        <v>2</v>
      </c>
      <c r="J271">
        <v>4</v>
      </c>
      <c r="K271" s="374"/>
      <c r="L271" t="s">
        <v>33</v>
      </c>
    </row>
    <row r="272" spans="1:12" ht="30" x14ac:dyDescent="0.25">
      <c r="H272" s="44" t="s">
        <v>223</v>
      </c>
      <c r="I272">
        <v>2</v>
      </c>
      <c r="J272">
        <v>3.5</v>
      </c>
      <c r="K272" s="374"/>
      <c r="L272" t="s">
        <v>33</v>
      </c>
    </row>
    <row r="273" spans="1:12" x14ac:dyDescent="0.25">
      <c r="H273" s="40" t="s">
        <v>140</v>
      </c>
      <c r="I273">
        <v>1</v>
      </c>
      <c r="J273">
        <v>4.7</v>
      </c>
      <c r="K273" s="374"/>
      <c r="L273" t="s">
        <v>33</v>
      </c>
    </row>
    <row r="278" spans="1:12" x14ac:dyDescent="0.25">
      <c r="A278" s="373" t="s">
        <v>84</v>
      </c>
      <c r="B278" s="373"/>
      <c r="C278" s="373"/>
      <c r="D278" s="373"/>
      <c r="H278" s="371" t="s">
        <v>83</v>
      </c>
      <c r="I278" s="371"/>
      <c r="J278" s="371"/>
      <c r="K278" s="371"/>
    </row>
    <row r="279" spans="1:12" ht="26.25" x14ac:dyDescent="0.25">
      <c r="A279" s="20" t="s">
        <v>41</v>
      </c>
      <c r="B279" s="20" t="s">
        <v>78</v>
      </c>
      <c r="C279" s="20" t="s">
        <v>77</v>
      </c>
      <c r="D279" s="20" t="s">
        <v>81</v>
      </c>
      <c r="E279" s="20" t="s">
        <v>1</v>
      </c>
      <c r="H279" s="20" t="s">
        <v>41</v>
      </c>
      <c r="I279" s="20" t="s">
        <v>78</v>
      </c>
      <c r="J279" s="20" t="s">
        <v>77</v>
      </c>
      <c r="K279" s="20" t="s">
        <v>81</v>
      </c>
      <c r="L279" s="20" t="s">
        <v>1</v>
      </c>
    </row>
    <row r="280" spans="1:12" x14ac:dyDescent="0.25">
      <c r="D280" s="1"/>
      <c r="H280" s="33" t="s">
        <v>7</v>
      </c>
      <c r="I280" s="32">
        <v>3</v>
      </c>
      <c r="J280" s="32">
        <v>1</v>
      </c>
      <c r="K280" s="372"/>
    </row>
    <row r="281" spans="1:12" x14ac:dyDescent="0.25">
      <c r="A281" s="10"/>
      <c r="D281" s="1"/>
      <c r="H281" s="32" t="s">
        <v>218</v>
      </c>
      <c r="I281" s="32">
        <v>2</v>
      </c>
      <c r="J281" s="32">
        <v>2.8</v>
      </c>
      <c r="K281" s="372"/>
    </row>
    <row r="282" spans="1:12" x14ac:dyDescent="0.25">
      <c r="D282" s="1"/>
      <c r="H282" s="33" t="s">
        <v>216</v>
      </c>
      <c r="I282" s="32">
        <v>2</v>
      </c>
      <c r="J282" s="32">
        <v>0.5</v>
      </c>
      <c r="K282" s="35"/>
    </row>
    <row r="283" spans="1:12" x14ac:dyDescent="0.25">
      <c r="A283" s="18"/>
      <c r="D283" s="23"/>
      <c r="H283" s="32" t="s">
        <v>6</v>
      </c>
      <c r="I283" s="32">
        <v>2</v>
      </c>
      <c r="J283" s="32">
        <v>2.5</v>
      </c>
      <c r="K283" s="35"/>
    </row>
    <row r="284" spans="1:12" x14ac:dyDescent="0.25">
      <c r="H284" s="32" t="s">
        <v>212</v>
      </c>
      <c r="I284" s="32">
        <v>1</v>
      </c>
      <c r="J284" s="32">
        <v>2</v>
      </c>
      <c r="K284" s="35"/>
    </row>
    <row r="285" spans="1:12" ht="30" x14ac:dyDescent="0.25">
      <c r="H285" s="45" t="s">
        <v>221</v>
      </c>
      <c r="I285" s="32">
        <v>3</v>
      </c>
      <c r="J285" s="32">
        <v>2.65</v>
      </c>
      <c r="K285" s="35" t="s">
        <v>9</v>
      </c>
      <c r="L285" t="s">
        <v>33</v>
      </c>
    </row>
    <row r="286" spans="1:12" ht="30" x14ac:dyDescent="0.25">
      <c r="H286" s="45" t="s">
        <v>222</v>
      </c>
      <c r="I286" s="32">
        <v>2</v>
      </c>
      <c r="J286" s="32">
        <v>2</v>
      </c>
      <c r="K286" s="23" t="s">
        <v>10</v>
      </c>
      <c r="L286" t="s">
        <v>33</v>
      </c>
    </row>
    <row r="287" spans="1:12" x14ac:dyDescent="0.25">
      <c r="H287" s="45" t="s">
        <v>111</v>
      </c>
      <c r="I287" s="32">
        <v>2</v>
      </c>
      <c r="J287" s="32">
        <v>1.9</v>
      </c>
      <c r="K287" s="23" t="s">
        <v>80</v>
      </c>
      <c r="L287" t="s">
        <v>33</v>
      </c>
    </row>
    <row r="288" spans="1:12" ht="15" customHeight="1" x14ac:dyDescent="0.25">
      <c r="H288" s="33" t="s">
        <v>217</v>
      </c>
      <c r="I288" s="33">
        <v>3</v>
      </c>
      <c r="J288" s="34">
        <v>1.6</v>
      </c>
    </row>
    <row r="289" spans="1:11" hidden="1" x14ac:dyDescent="0.25">
      <c r="K289" t="s">
        <v>102</v>
      </c>
    </row>
    <row r="290" spans="1:11" ht="30" hidden="1" x14ac:dyDescent="0.25">
      <c r="A290" s="1" t="s">
        <v>5</v>
      </c>
      <c r="B290">
        <v>5</v>
      </c>
      <c r="C290" s="369" t="s">
        <v>97</v>
      </c>
      <c r="D290" t="s">
        <v>66</v>
      </c>
      <c r="E290">
        <v>2</v>
      </c>
      <c r="F290" s="1" t="s">
        <v>11</v>
      </c>
      <c r="G290">
        <v>1</v>
      </c>
      <c r="H290">
        <f>G290/SUM($G$290:$G$297)</f>
        <v>5.5555555555555552E-2</v>
      </c>
      <c r="I290">
        <f>E290*H290</f>
        <v>0.1111111111111111</v>
      </c>
      <c r="J290" s="28">
        <f>SUM(I290:I297)</f>
        <v>2.8833333333333329</v>
      </c>
      <c r="K290">
        <v>3.4</v>
      </c>
    </row>
    <row r="291" spans="1:11" hidden="1" x14ac:dyDescent="0.25">
      <c r="A291" s="1"/>
      <c r="B291">
        <v>5</v>
      </c>
      <c r="C291" s="369"/>
      <c r="D291" t="s">
        <v>57</v>
      </c>
      <c r="E291">
        <v>4</v>
      </c>
      <c r="F291" t="s">
        <v>10</v>
      </c>
      <c r="G291">
        <v>2</v>
      </c>
      <c r="H291">
        <f t="shared" ref="H291:H297" si="4">G291/SUM($G$290:$G$297)</f>
        <v>0.1111111111111111</v>
      </c>
      <c r="I291">
        <f t="shared" ref="I291:I297" si="5">E291*H291</f>
        <v>0.44444444444444442</v>
      </c>
    </row>
    <row r="292" spans="1:11" ht="30" hidden="1" customHeight="1" x14ac:dyDescent="0.25">
      <c r="A292" s="1"/>
      <c r="B292">
        <v>5</v>
      </c>
      <c r="C292" s="369"/>
      <c r="D292" t="s">
        <v>58</v>
      </c>
      <c r="E292">
        <v>4.8</v>
      </c>
      <c r="F292" t="s">
        <v>10</v>
      </c>
      <c r="G292">
        <v>2</v>
      </c>
      <c r="H292">
        <f t="shared" si="4"/>
        <v>0.1111111111111111</v>
      </c>
      <c r="I292">
        <f t="shared" si="5"/>
        <v>0.53333333333333333</v>
      </c>
    </row>
    <row r="293" spans="1:11" hidden="1" x14ac:dyDescent="0.25">
      <c r="A293" s="1"/>
      <c r="B293">
        <v>5</v>
      </c>
      <c r="C293" s="369"/>
      <c r="D293" t="s">
        <v>55</v>
      </c>
      <c r="E293">
        <v>2.5</v>
      </c>
      <c r="F293" t="s">
        <v>10</v>
      </c>
      <c r="G293">
        <v>2</v>
      </c>
      <c r="H293">
        <f t="shared" si="4"/>
        <v>0.1111111111111111</v>
      </c>
      <c r="I293">
        <f t="shared" si="5"/>
        <v>0.27777777777777779</v>
      </c>
    </row>
    <row r="294" spans="1:11" hidden="1" x14ac:dyDescent="0.25">
      <c r="A294" s="1"/>
      <c r="B294">
        <v>5</v>
      </c>
      <c r="C294" s="369"/>
      <c r="D294" t="s">
        <v>56</v>
      </c>
      <c r="E294">
        <v>3.9</v>
      </c>
      <c r="F294" t="s">
        <v>10</v>
      </c>
      <c r="G294">
        <v>2</v>
      </c>
      <c r="H294">
        <f t="shared" si="4"/>
        <v>0.1111111111111111</v>
      </c>
      <c r="I294">
        <f t="shared" si="5"/>
        <v>0.43333333333333329</v>
      </c>
    </row>
    <row r="295" spans="1:11" ht="30" hidden="1" x14ac:dyDescent="0.25">
      <c r="A295" s="1"/>
      <c r="B295">
        <v>5</v>
      </c>
      <c r="C295" s="369"/>
      <c r="D295" t="s">
        <v>67</v>
      </c>
      <c r="E295">
        <v>0.5</v>
      </c>
      <c r="F295" s="1" t="s">
        <v>9</v>
      </c>
      <c r="G295">
        <v>3</v>
      </c>
      <c r="H295">
        <f t="shared" si="4"/>
        <v>0.16666666666666666</v>
      </c>
      <c r="I295">
        <f t="shared" si="5"/>
        <v>8.3333333333333329E-2</v>
      </c>
    </row>
    <row r="296" spans="1:11" ht="30" hidden="1" x14ac:dyDescent="0.25">
      <c r="A296" s="1"/>
      <c r="B296">
        <v>5</v>
      </c>
      <c r="C296" s="369"/>
      <c r="D296" t="s">
        <v>53</v>
      </c>
      <c r="E296">
        <v>1</v>
      </c>
      <c r="F296" s="1" t="s">
        <v>9</v>
      </c>
      <c r="G296">
        <v>3</v>
      </c>
      <c r="H296">
        <f t="shared" si="4"/>
        <v>0.16666666666666666</v>
      </c>
      <c r="I296">
        <f t="shared" si="5"/>
        <v>0.16666666666666666</v>
      </c>
    </row>
    <row r="297" spans="1:11" ht="15" hidden="1" customHeight="1" x14ac:dyDescent="0.25">
      <c r="A297" s="1"/>
      <c r="B297">
        <v>5</v>
      </c>
      <c r="C297" s="369"/>
      <c r="D297" t="s">
        <v>54</v>
      </c>
      <c r="E297">
        <v>5</v>
      </c>
      <c r="F297" s="1" t="s">
        <v>9</v>
      </c>
      <c r="G297">
        <v>3</v>
      </c>
      <c r="H297">
        <f t="shared" si="4"/>
        <v>0.16666666666666666</v>
      </c>
      <c r="I297">
        <f t="shared" si="5"/>
        <v>0.83333333333333326</v>
      </c>
    </row>
    <row r="298" spans="1:11" hidden="1" x14ac:dyDescent="0.25">
      <c r="A298" s="1"/>
    </row>
    <row r="299" spans="1:11" hidden="1" x14ac:dyDescent="0.25">
      <c r="A299" s="1"/>
    </row>
    <row r="300" spans="1:11" ht="30" hidden="1" x14ac:dyDescent="0.25">
      <c r="A300" s="1" t="s">
        <v>101</v>
      </c>
      <c r="C300" s="369" t="s">
        <v>95</v>
      </c>
      <c r="D300" s="18" t="s">
        <v>94</v>
      </c>
      <c r="E300">
        <v>1</v>
      </c>
      <c r="F300">
        <v>4.5</v>
      </c>
      <c r="H300" s="1">
        <f>E300/SUM($E$300:$E$308)</f>
        <v>7.6923076923076927E-2</v>
      </c>
      <c r="I300">
        <f>F300*H300</f>
        <v>0.34615384615384615</v>
      </c>
      <c r="J300" s="28">
        <f>SUM(I300:I308)</f>
        <v>2.7653846153846153</v>
      </c>
      <c r="K300">
        <v>3.5</v>
      </c>
    </row>
    <row r="301" spans="1:11" hidden="1" x14ac:dyDescent="0.25">
      <c r="A301" s="1"/>
      <c r="C301" s="369"/>
      <c r="D301" s="18" t="s">
        <v>86</v>
      </c>
      <c r="E301">
        <v>1</v>
      </c>
      <c r="F301">
        <v>2.4</v>
      </c>
      <c r="G301" s="23"/>
      <c r="H301" s="1">
        <f t="shared" ref="H301:H308" si="6">E301/SUM($E$300:$E$308)</f>
        <v>7.6923076923076927E-2</v>
      </c>
      <c r="I301">
        <f t="shared" ref="I301:I308" si="7">F301*H301</f>
        <v>0.18461538461538463</v>
      </c>
    </row>
    <row r="302" spans="1:11" hidden="1" x14ac:dyDescent="0.25">
      <c r="A302" s="1"/>
      <c r="C302" s="369"/>
      <c r="D302" s="18" t="s">
        <v>93</v>
      </c>
      <c r="E302">
        <v>2</v>
      </c>
      <c r="F302">
        <v>3.1</v>
      </c>
      <c r="H302" s="1">
        <f t="shared" si="6"/>
        <v>0.15384615384615385</v>
      </c>
      <c r="I302">
        <f t="shared" si="7"/>
        <v>0.47692307692307695</v>
      </c>
    </row>
    <row r="303" spans="1:11" hidden="1" x14ac:dyDescent="0.25">
      <c r="A303" s="1"/>
      <c r="C303" s="369"/>
      <c r="D303" s="18" t="s">
        <v>92</v>
      </c>
      <c r="E303">
        <v>1</v>
      </c>
      <c r="F303">
        <v>3.3</v>
      </c>
      <c r="H303" s="1">
        <f t="shared" si="6"/>
        <v>7.6923076923076927E-2</v>
      </c>
      <c r="I303">
        <f t="shared" si="7"/>
        <v>0.25384615384615383</v>
      </c>
    </row>
    <row r="304" spans="1:11" hidden="1" x14ac:dyDescent="0.25">
      <c r="A304" s="1"/>
      <c r="C304" s="369"/>
      <c r="D304" s="18" t="s">
        <v>90</v>
      </c>
      <c r="E304">
        <v>1</v>
      </c>
      <c r="F304">
        <v>3.3</v>
      </c>
      <c r="H304" s="1">
        <f t="shared" si="6"/>
        <v>7.6923076923076927E-2</v>
      </c>
      <c r="I304">
        <f t="shared" si="7"/>
        <v>0.25384615384615383</v>
      </c>
    </row>
    <row r="305" spans="1:11" hidden="1" x14ac:dyDescent="0.25">
      <c r="A305" s="1"/>
      <c r="C305" s="369"/>
      <c r="D305" s="18" t="s">
        <v>91</v>
      </c>
      <c r="E305">
        <v>3</v>
      </c>
      <c r="F305">
        <v>2.65</v>
      </c>
      <c r="H305" s="1">
        <f t="shared" si="6"/>
        <v>0.23076923076923078</v>
      </c>
      <c r="I305">
        <f t="shared" si="7"/>
        <v>0.61153846153846159</v>
      </c>
    </row>
    <row r="306" spans="1:11" hidden="1" x14ac:dyDescent="0.25">
      <c r="A306" s="1"/>
      <c r="C306" s="369"/>
      <c r="D306" s="18" t="s">
        <v>87</v>
      </c>
      <c r="E306">
        <v>2</v>
      </c>
      <c r="F306">
        <v>2.7</v>
      </c>
      <c r="H306" s="1">
        <f t="shared" si="6"/>
        <v>0.15384615384615385</v>
      </c>
      <c r="I306">
        <f t="shared" si="7"/>
        <v>0.41538461538461541</v>
      </c>
    </row>
    <row r="307" spans="1:11" hidden="1" x14ac:dyDescent="0.25">
      <c r="A307" s="1"/>
      <c r="C307" s="369"/>
      <c r="D307" s="18" t="s">
        <v>88</v>
      </c>
      <c r="E307">
        <v>1</v>
      </c>
      <c r="F307">
        <v>1</v>
      </c>
      <c r="H307" s="1">
        <f t="shared" si="6"/>
        <v>7.6923076923076927E-2</v>
      </c>
      <c r="I307">
        <f t="shared" si="7"/>
        <v>7.6923076923076927E-2</v>
      </c>
    </row>
    <row r="308" spans="1:11" hidden="1" x14ac:dyDescent="0.25">
      <c r="A308" s="1"/>
      <c r="C308" s="369"/>
      <c r="D308" s="18" t="s">
        <v>89</v>
      </c>
      <c r="E308">
        <v>1</v>
      </c>
      <c r="F308">
        <v>1.9</v>
      </c>
      <c r="H308" s="1">
        <f t="shared" si="6"/>
        <v>7.6923076923076927E-2</v>
      </c>
      <c r="I308">
        <f t="shared" si="7"/>
        <v>0.14615384615384616</v>
      </c>
    </row>
    <row r="309" spans="1:11" hidden="1" x14ac:dyDescent="0.25">
      <c r="A309" s="1"/>
    </row>
    <row r="310" spans="1:11" hidden="1" x14ac:dyDescent="0.25">
      <c r="A310" s="1"/>
      <c r="J310" s="28">
        <v>3.3</v>
      </c>
      <c r="K310">
        <v>3.1</v>
      </c>
    </row>
    <row r="311" spans="1:11" hidden="1" x14ac:dyDescent="0.25">
      <c r="A311" s="1"/>
      <c r="C311" s="369" t="s">
        <v>96</v>
      </c>
      <c r="D311" s="10" t="s">
        <v>61</v>
      </c>
      <c r="E311">
        <v>1</v>
      </c>
      <c r="F311">
        <v>4.7</v>
      </c>
      <c r="H311">
        <f>E311/SUM($E$311:$E$317)</f>
        <v>7.6923076923076927E-2</v>
      </c>
      <c r="I311">
        <f>H311*F311</f>
        <v>0.36153846153846159</v>
      </c>
    </row>
    <row r="312" spans="1:11" ht="30" hidden="1" x14ac:dyDescent="0.25">
      <c r="A312" s="1" t="s">
        <v>4</v>
      </c>
      <c r="C312" s="369"/>
      <c r="D312" s="10" t="s">
        <v>59</v>
      </c>
      <c r="E312">
        <v>3</v>
      </c>
      <c r="F312">
        <v>3.5</v>
      </c>
      <c r="H312">
        <f t="shared" ref="H312:H317" si="8">E312/SUM($E$311:$E$317)</f>
        <v>0.23076923076923078</v>
      </c>
      <c r="I312">
        <f t="shared" ref="I312:I317" si="9">H312*F312</f>
        <v>0.80769230769230771</v>
      </c>
    </row>
    <row r="313" spans="1:11" hidden="1" x14ac:dyDescent="0.25">
      <c r="A313" s="1"/>
      <c r="C313" s="369"/>
      <c r="D313" s="10" t="s">
        <v>60</v>
      </c>
      <c r="E313">
        <v>2</v>
      </c>
      <c r="F313">
        <v>1.7</v>
      </c>
      <c r="H313">
        <f t="shared" si="8"/>
        <v>0.15384615384615385</v>
      </c>
      <c r="I313">
        <f t="shared" si="9"/>
        <v>0.26153846153846155</v>
      </c>
    </row>
    <row r="314" spans="1:11" hidden="1" x14ac:dyDescent="0.25">
      <c r="A314" s="1"/>
      <c r="C314" s="369"/>
      <c r="D314" s="10" t="s">
        <v>64</v>
      </c>
      <c r="E314">
        <v>3</v>
      </c>
      <c r="F314">
        <v>3.5</v>
      </c>
      <c r="H314">
        <f t="shared" si="8"/>
        <v>0.23076923076923078</v>
      </c>
      <c r="I314">
        <f t="shared" si="9"/>
        <v>0.80769230769230771</v>
      </c>
    </row>
    <row r="315" spans="1:11" hidden="1" x14ac:dyDescent="0.25">
      <c r="C315" s="369"/>
      <c r="D315" s="10" t="s">
        <v>63</v>
      </c>
      <c r="E315">
        <v>1</v>
      </c>
      <c r="F315">
        <v>4.0999999999999996</v>
      </c>
      <c r="H315">
        <f t="shared" si="8"/>
        <v>7.6923076923076927E-2</v>
      </c>
      <c r="I315">
        <f t="shared" si="9"/>
        <v>0.31538461538461537</v>
      </c>
    </row>
    <row r="316" spans="1:11" hidden="1" x14ac:dyDescent="0.25">
      <c r="C316" s="369"/>
      <c r="D316" s="10" t="s">
        <v>62</v>
      </c>
      <c r="E316">
        <v>1</v>
      </c>
      <c r="F316">
        <v>4.3</v>
      </c>
      <c r="H316">
        <f t="shared" si="8"/>
        <v>7.6923076923076927E-2</v>
      </c>
      <c r="I316">
        <f t="shared" si="9"/>
        <v>0.33076923076923076</v>
      </c>
    </row>
    <row r="317" spans="1:11" hidden="1" x14ac:dyDescent="0.25">
      <c r="C317" s="369"/>
      <c r="D317" s="10" t="s">
        <v>65</v>
      </c>
      <c r="E317">
        <v>2</v>
      </c>
      <c r="F317">
        <v>2.9</v>
      </c>
      <c r="H317">
        <f t="shared" si="8"/>
        <v>0.15384615384615385</v>
      </c>
      <c r="I317">
        <f t="shared" si="9"/>
        <v>0.44615384615384618</v>
      </c>
    </row>
    <row r="318" spans="1:11" hidden="1" x14ac:dyDescent="0.25"/>
    <row r="319" spans="1:11" hidden="1" x14ac:dyDescent="0.25"/>
    <row r="320" spans="1:11" hidden="1" x14ac:dyDescent="0.25"/>
    <row r="321" spans="3:11" hidden="1" x14ac:dyDescent="0.25">
      <c r="C321" s="26" t="s">
        <v>97</v>
      </c>
      <c r="D321" t="s">
        <v>66</v>
      </c>
      <c r="E321">
        <v>2</v>
      </c>
      <c r="F321" s="1" t="s">
        <v>11</v>
      </c>
    </row>
    <row r="322" spans="3:11" hidden="1" x14ac:dyDescent="0.25">
      <c r="C322" s="26" t="s">
        <v>98</v>
      </c>
      <c r="D322" t="s">
        <v>57</v>
      </c>
      <c r="E322">
        <v>4</v>
      </c>
      <c r="F322" s="370" t="s">
        <v>10</v>
      </c>
    </row>
    <row r="323" spans="3:11" hidden="1" x14ac:dyDescent="0.25">
      <c r="C323" s="26" t="s">
        <v>99</v>
      </c>
      <c r="D323" t="s">
        <v>58</v>
      </c>
      <c r="E323">
        <v>4.8</v>
      </c>
      <c r="F323" s="370"/>
    </row>
    <row r="324" spans="3:11" hidden="1" x14ac:dyDescent="0.25">
      <c r="C324" s="26"/>
      <c r="D324" t="s">
        <v>55</v>
      </c>
      <c r="E324">
        <v>2.5</v>
      </c>
      <c r="F324" s="370"/>
    </row>
    <row r="325" spans="3:11" hidden="1" x14ac:dyDescent="0.25">
      <c r="C325" s="26"/>
      <c r="D325" t="s">
        <v>56</v>
      </c>
      <c r="E325">
        <v>3.9</v>
      </c>
      <c r="F325" s="370"/>
    </row>
    <row r="326" spans="3:11" ht="30" hidden="1" customHeight="1" x14ac:dyDescent="0.25">
      <c r="C326" s="26"/>
      <c r="D326" t="s">
        <v>67</v>
      </c>
      <c r="E326">
        <v>0.5</v>
      </c>
      <c r="F326" s="374" t="s">
        <v>9</v>
      </c>
    </row>
    <row r="327" spans="3:11" ht="30" hidden="1" customHeight="1" x14ac:dyDescent="0.25">
      <c r="C327" s="26"/>
      <c r="D327" t="s">
        <v>53</v>
      </c>
      <c r="E327">
        <v>1</v>
      </c>
      <c r="F327" s="374"/>
    </row>
    <row r="328" spans="3:11" ht="30" hidden="1" customHeight="1" x14ac:dyDescent="0.25">
      <c r="C328" s="26"/>
      <c r="D328" t="s">
        <v>54</v>
      </c>
      <c r="E328">
        <v>5</v>
      </c>
      <c r="F328" s="374"/>
    </row>
    <row r="329" spans="3:11" hidden="1" x14ac:dyDescent="0.25"/>
    <row r="330" spans="3:11" hidden="1" x14ac:dyDescent="0.25"/>
    <row r="331" spans="3:11" hidden="1" x14ac:dyDescent="0.25">
      <c r="C331" t="s">
        <v>10</v>
      </c>
      <c r="D331" t="s">
        <v>57</v>
      </c>
      <c r="E331">
        <v>4</v>
      </c>
      <c r="F331" t="s">
        <v>58</v>
      </c>
      <c r="G331">
        <v>4.8</v>
      </c>
      <c r="H331" t="s">
        <v>55</v>
      </c>
      <c r="I331">
        <v>2.5</v>
      </c>
      <c r="J331" t="s">
        <v>56</v>
      </c>
      <c r="K331">
        <v>3.9</v>
      </c>
    </row>
    <row r="332" spans="3:11" hidden="1" x14ac:dyDescent="0.25">
      <c r="C332" s="1" t="s">
        <v>11</v>
      </c>
    </row>
    <row r="333" spans="3:11" ht="30" hidden="1" x14ac:dyDescent="0.25">
      <c r="C333" s="1" t="s">
        <v>9</v>
      </c>
    </row>
    <row r="334" spans="3:11" hidden="1" x14ac:dyDescent="0.25"/>
    <row r="335" spans="3:11" hidden="1" x14ac:dyDescent="0.25">
      <c r="D335" s="26"/>
      <c r="E335" s="10"/>
    </row>
    <row r="336" spans="3:11" x14ac:dyDescent="0.25">
      <c r="D336" s="30" t="s">
        <v>224</v>
      </c>
    </row>
    <row r="337" spans="1:15" x14ac:dyDescent="0.25">
      <c r="D337" s="370" t="s">
        <v>10</v>
      </c>
      <c r="E337" s="370"/>
      <c r="F337" s="24" t="s">
        <v>9</v>
      </c>
    </row>
    <row r="338" spans="1:15" ht="60" x14ac:dyDescent="0.25">
      <c r="D338" s="38" t="s">
        <v>111</v>
      </c>
      <c r="E338" s="38" t="s">
        <v>222</v>
      </c>
      <c r="F338" s="38" t="s">
        <v>221</v>
      </c>
    </row>
    <row r="339" spans="1:15" x14ac:dyDescent="0.25">
      <c r="D339">
        <v>1.9</v>
      </c>
      <c r="E339">
        <v>2</v>
      </c>
      <c r="F339">
        <v>2.65</v>
      </c>
    </row>
    <row r="340" spans="1:15" x14ac:dyDescent="0.25">
      <c r="D340" s="26"/>
    </row>
    <row r="341" spans="1:15" x14ac:dyDescent="0.25">
      <c r="D341" s="26" t="s">
        <v>123</v>
      </c>
    </row>
    <row r="342" spans="1:15" x14ac:dyDescent="0.25">
      <c r="D342" s="29" t="s">
        <v>11</v>
      </c>
      <c r="E342" s="370" t="s">
        <v>10</v>
      </c>
      <c r="F342" s="370"/>
      <c r="G342" s="376" t="s">
        <v>9</v>
      </c>
      <c r="H342" s="376"/>
    </row>
    <row r="343" spans="1:15" ht="60" x14ac:dyDescent="0.25">
      <c r="D343" s="10" t="s">
        <v>140</v>
      </c>
      <c r="E343" s="37" t="s">
        <v>223</v>
      </c>
      <c r="F343" s="37" t="s">
        <v>225</v>
      </c>
      <c r="G343" s="40" t="s">
        <v>127</v>
      </c>
    </row>
    <row r="344" spans="1:15" x14ac:dyDescent="0.25">
      <c r="D344">
        <v>4.7</v>
      </c>
      <c r="E344">
        <v>3.5</v>
      </c>
      <c r="F344">
        <v>4</v>
      </c>
      <c r="G344">
        <v>4.5</v>
      </c>
    </row>
    <row r="348" spans="1:15" x14ac:dyDescent="0.25">
      <c r="B348" s="11" t="s">
        <v>5</v>
      </c>
    </row>
    <row r="349" spans="1:15" x14ac:dyDescent="0.25">
      <c r="B349" s="35"/>
      <c r="D349" s="31"/>
      <c r="E349" s="31"/>
      <c r="F349" s="31"/>
      <c r="G349" s="31"/>
      <c r="H349" s="31"/>
      <c r="I349" s="31"/>
    </row>
    <row r="350" spans="1:15" x14ac:dyDescent="0.25">
      <c r="A350" s="375" t="s">
        <v>11</v>
      </c>
      <c r="B350" s="375"/>
      <c r="C350" s="369" t="s">
        <v>10</v>
      </c>
      <c r="D350" s="369"/>
      <c r="E350" s="369"/>
      <c r="F350" s="369"/>
      <c r="G350" s="369"/>
      <c r="H350" s="369"/>
      <c r="I350" s="369"/>
      <c r="J350" s="369" t="s">
        <v>9</v>
      </c>
      <c r="K350" s="369"/>
      <c r="L350" s="29"/>
      <c r="M350" s="29"/>
      <c r="N350" s="29"/>
      <c r="O350" s="29"/>
    </row>
    <row r="351" spans="1:15" ht="90" x14ac:dyDescent="0.25">
      <c r="A351" s="36" t="s">
        <v>220</v>
      </c>
      <c r="B351" s="33" t="s">
        <v>212</v>
      </c>
      <c r="C351" s="33" t="s">
        <v>213</v>
      </c>
      <c r="D351" s="33" t="s">
        <v>214</v>
      </c>
      <c r="E351" s="33" t="s">
        <v>6</v>
      </c>
      <c r="F351" s="33" t="s">
        <v>215</v>
      </c>
      <c r="G351" s="33" t="s">
        <v>216</v>
      </c>
      <c r="H351" s="36" t="s">
        <v>219</v>
      </c>
      <c r="I351" s="33" t="s">
        <v>7</v>
      </c>
      <c r="J351" s="33" t="s">
        <v>217</v>
      </c>
      <c r="K351" s="33" t="s">
        <v>214</v>
      </c>
    </row>
    <row r="352" spans="1:15" x14ac:dyDescent="0.25">
      <c r="A352">
        <v>4</v>
      </c>
      <c r="B352" s="34">
        <v>2</v>
      </c>
      <c r="C352" s="34">
        <v>4</v>
      </c>
      <c r="D352" s="34">
        <v>4.8</v>
      </c>
      <c r="E352" s="34">
        <v>2.5</v>
      </c>
      <c r="F352" s="34">
        <v>3.9</v>
      </c>
      <c r="G352" s="34">
        <v>0.5</v>
      </c>
      <c r="H352" s="34">
        <v>2.8</v>
      </c>
      <c r="I352" s="34">
        <v>1</v>
      </c>
      <c r="J352" s="25">
        <v>1.6</v>
      </c>
      <c r="K352" s="25">
        <v>4.5</v>
      </c>
    </row>
    <row r="353" spans="3:12" x14ac:dyDescent="0.25">
      <c r="C353" s="26"/>
      <c r="F353" s="29"/>
    </row>
    <row r="354" spans="3:12" x14ac:dyDescent="0.25">
      <c r="C354" s="26"/>
      <c r="F354" s="29"/>
    </row>
    <row r="355" spans="3:12" x14ac:dyDescent="0.25">
      <c r="C355" s="26"/>
      <c r="F355" s="29"/>
    </row>
    <row r="356" spans="3:12" ht="15" customHeight="1" x14ac:dyDescent="0.25">
      <c r="C356" s="26"/>
      <c r="F356" s="1"/>
    </row>
    <row r="357" spans="3:12" x14ac:dyDescent="0.25">
      <c r="C357" s="26"/>
      <c r="F357" s="1"/>
    </row>
    <row r="358" spans="3:12" x14ac:dyDescent="0.25">
      <c r="C358" s="26"/>
      <c r="F358" s="1"/>
    </row>
    <row r="361" spans="3:12" x14ac:dyDescent="0.25">
      <c r="I361" s="20"/>
      <c r="J361" s="20"/>
      <c r="K361" s="20"/>
    </row>
    <row r="362" spans="3:12" x14ac:dyDescent="0.25">
      <c r="I362" s="10"/>
      <c r="L362" s="21"/>
    </row>
  </sheetData>
  <autoFilter ref="A14:E14" xr:uid="{00000000-0009-0000-0000-000005000000}">
    <sortState ref="A15:C38">
      <sortCondition ref="B14"/>
    </sortState>
  </autoFilter>
  <mergeCells count="29">
    <mergeCell ref="E205:E206"/>
    <mergeCell ref="A109:D109"/>
    <mergeCell ref="H109:K109"/>
    <mergeCell ref="A121:D121"/>
    <mergeCell ref="D201:G201"/>
    <mergeCell ref="E203:E204"/>
    <mergeCell ref="K125:K128"/>
    <mergeCell ref="H121:K121"/>
    <mergeCell ref="K123:K124"/>
    <mergeCell ref="K111:K117"/>
    <mergeCell ref="A350:B350"/>
    <mergeCell ref="J350:K350"/>
    <mergeCell ref="C350:I350"/>
    <mergeCell ref="C300:C308"/>
    <mergeCell ref="C311:C317"/>
    <mergeCell ref="E342:F342"/>
    <mergeCell ref="G342:H342"/>
    <mergeCell ref="F326:F328"/>
    <mergeCell ref="D337:E337"/>
    <mergeCell ref="C290:C297"/>
    <mergeCell ref="F322:F325"/>
    <mergeCell ref="H278:K278"/>
    <mergeCell ref="K280:K281"/>
    <mergeCell ref="H265:K265"/>
    <mergeCell ref="K267:K268"/>
    <mergeCell ref="K269:K271"/>
    <mergeCell ref="K272:K273"/>
    <mergeCell ref="A265:D265"/>
    <mergeCell ref="A278:D278"/>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C19"/>
  <sheetViews>
    <sheetView topLeftCell="A7" workbookViewId="0">
      <selection activeCell="B19" sqref="B19"/>
    </sheetView>
  </sheetViews>
  <sheetFormatPr baseColWidth="10" defaultRowHeight="15" x14ac:dyDescent="0.25"/>
  <cols>
    <col min="1" max="1" width="21" customWidth="1"/>
  </cols>
  <sheetData>
    <row r="1" spans="1:3" x14ac:dyDescent="0.25">
      <c r="A1" s="11" t="s">
        <v>246</v>
      </c>
    </row>
    <row r="2" spans="1:3" x14ac:dyDescent="0.25">
      <c r="A2" t="s">
        <v>332</v>
      </c>
      <c r="C2" t="str">
        <f>_xlfn.CONCAT('APPLIES-motivation'!K2:R2," -- ",A2)</f>
        <v xml:space="preserve"> -- Preparation grid</v>
      </c>
    </row>
    <row r="3" spans="1:3" x14ac:dyDescent="0.25">
      <c r="A3" t="s">
        <v>301</v>
      </c>
      <c r="C3" t="str">
        <f>_xlfn.CONCAT('APPLIES-motivation'!$K$2:$R$2," -- ",A3)</f>
        <v xml:space="preserve"> -- Score overview chart</v>
      </c>
    </row>
    <row r="4" spans="1:3" x14ac:dyDescent="0.25">
      <c r="A4" t="s">
        <v>316</v>
      </c>
      <c r="C4" t="str">
        <f>_xlfn.CONCAT('APPLIES-motivation'!$K$2:$R$2," -- ",A4)</f>
        <v xml:space="preserve"> -- Alignment with adoption drivers</v>
      </c>
    </row>
    <row r="5" spans="1:3" x14ac:dyDescent="0.25">
      <c r="A5" t="s">
        <v>323</v>
      </c>
      <c r="C5" t="str">
        <f>_xlfn.CONCAT('APPLIES-motivation'!$K$2:$R$2," -- ",A5)</f>
        <v xml:space="preserve"> -- Share of selected drivers</v>
      </c>
    </row>
    <row r="6" spans="1:3" x14ac:dyDescent="0.25">
      <c r="A6" t="s">
        <v>330</v>
      </c>
      <c r="C6" t="str">
        <f>_xlfn.CONCAT('APPLIES-motivation'!$K$2:$R$2," -- ",A6)</f>
        <v xml:space="preserve"> -- Performance by dimension</v>
      </c>
    </row>
    <row r="9" spans="1:3" x14ac:dyDescent="0.25">
      <c r="A9" s="11" t="s">
        <v>258</v>
      </c>
      <c r="C9" s="11" t="s">
        <v>30</v>
      </c>
    </row>
    <row r="10" spans="1:3" x14ac:dyDescent="0.25">
      <c r="A10" t="s">
        <v>9</v>
      </c>
      <c r="C10" t="s">
        <v>260</v>
      </c>
    </row>
    <row r="11" spans="1:3" x14ac:dyDescent="0.25">
      <c r="A11" t="s">
        <v>10</v>
      </c>
      <c r="C11" t="s">
        <v>261</v>
      </c>
    </row>
    <row r="12" spans="1:3" x14ac:dyDescent="0.25">
      <c r="A12" t="s">
        <v>11</v>
      </c>
      <c r="C12" t="s">
        <v>96</v>
      </c>
    </row>
    <row r="13" spans="1:3" x14ac:dyDescent="0.25">
      <c r="A13" t="s">
        <v>263</v>
      </c>
    </row>
    <row r="16" spans="1:3" x14ac:dyDescent="0.25">
      <c r="A16" t="s">
        <v>351</v>
      </c>
      <c r="B16" t="s">
        <v>367</v>
      </c>
    </row>
    <row r="17" spans="1:2" x14ac:dyDescent="0.25">
      <c r="A17" t="s">
        <v>372</v>
      </c>
      <c r="B17" t="s">
        <v>370</v>
      </c>
    </row>
    <row r="18" spans="1:2" x14ac:dyDescent="0.25">
      <c r="A18" t="s">
        <v>352</v>
      </c>
      <c r="B18" t="s">
        <v>366</v>
      </c>
    </row>
    <row r="19" spans="1:2" x14ac:dyDescent="0.25">
      <c r="A19" t="s">
        <v>416</v>
      </c>
      <c r="B19" s="275"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C8EDB2A2-F498-44C2-8530-46AF5083169E}">
  <ds:schemaRefs>
    <ds:schemaRef ds:uri="http://schemas.microsoft.com/DataMashup"/>
  </ds:schemaRefs>
</ds:datastoreItem>
</file>

<file path=customXml/itemProps2.xml><?xml version="1.0" encoding="utf-8"?>
<ds:datastoreItem xmlns:ds="http://schemas.openxmlformats.org/officeDocument/2006/customXml" ds:itemID="{F72EE093-22BD-48A6-8587-E7E20C8EC5EA}">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6D64FD11-4817-424B-91BD-6A892913C548}">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48</vt:i4>
      </vt:variant>
    </vt:vector>
  </HeadingPairs>
  <TitlesOfParts>
    <vt:vector size="56" baseType="lpstr">
      <vt:lpstr>ToolInstructions</vt:lpstr>
      <vt:lpstr>APPLIES-motivation</vt:lpstr>
      <vt:lpstr>1.Motiv instFistV</vt:lpstr>
      <vt:lpstr>APPLIES-preparation</vt:lpstr>
      <vt:lpstr>Data_preparationResults</vt:lpstr>
      <vt:lpstr>Preparation results</vt:lpstr>
      <vt:lpstr>SummaryMatrix</vt:lpstr>
      <vt:lpstr>Data</vt:lpstr>
      <vt:lpstr>imporTec</vt:lpstr>
      <vt:lpstr>impSComm</vt:lpstr>
      <vt:lpstr>impSComVar</vt:lpstr>
      <vt:lpstr>impSDegree</vt:lpstr>
      <vt:lpstr>impSDomK</vt:lpstr>
      <vt:lpstr>impSInvest</vt:lpstr>
      <vt:lpstr>impSMarket</vt:lpstr>
      <vt:lpstr>impSOpen</vt:lpstr>
      <vt:lpstr>impSOrgan</vt:lpstr>
      <vt:lpstr>impSPLAw</vt:lpstr>
      <vt:lpstr>impSPotPro</vt:lpstr>
      <vt:lpstr>impSProcess</vt:lpstr>
      <vt:lpstr>impSReuseApt</vt:lpstr>
      <vt:lpstr>impSReusePot</vt:lpstr>
      <vt:lpstr>impSSofEng</vt:lpstr>
      <vt:lpstr>impStaMig</vt:lpstr>
      <vt:lpstr>PLAwareness</vt:lpstr>
      <vt:lpstr>statAnswCom</vt:lpstr>
      <vt:lpstr>statAnswCommVar</vt:lpstr>
      <vt:lpstr>statAnswContr</vt:lpstr>
      <vt:lpstr>statAnswDomKnow</vt:lpstr>
      <vt:lpstr>statAnswInvest</vt:lpstr>
      <vt:lpstr>statAnswMarkPot</vt:lpstr>
      <vt:lpstr>statAnswMig</vt:lpstr>
      <vt:lpstr>statAnswOpen</vt:lpstr>
      <vt:lpstr>statAnswOrgPrep</vt:lpstr>
      <vt:lpstr>statAnswPLAwa</vt:lpstr>
      <vt:lpstr>statAnswPotProd</vt:lpstr>
      <vt:lpstr>statAnswProcDisc</vt:lpstr>
      <vt:lpstr>statAnswReuseApt</vt:lpstr>
      <vt:lpstr>statAnswReusePot</vt:lpstr>
      <vt:lpstr>statAnswSECap</vt:lpstr>
      <vt:lpstr>statComm</vt:lpstr>
      <vt:lpstr>statComVar</vt:lpstr>
      <vt:lpstr>statDegree</vt:lpstr>
      <vt:lpstr>statDomain</vt:lpstr>
      <vt:lpstr>statInvest</vt:lpstr>
      <vt:lpstr>statMark</vt:lpstr>
      <vt:lpstr>statMigr</vt:lpstr>
      <vt:lpstr>statOpen</vt:lpstr>
      <vt:lpstr>statOrganiz</vt:lpstr>
      <vt:lpstr>statPLAwar</vt:lpstr>
      <vt:lpstr>statPotPro</vt:lpstr>
      <vt:lpstr>statProc</vt:lpstr>
      <vt:lpstr>statReuseApt</vt:lpstr>
      <vt:lpstr>statReusePot</vt:lpstr>
      <vt:lpstr>statSoftEng</vt:lpstr>
      <vt:lpstr>TablaDin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Luisa Fernanda Rincon Perez</dc:creator>
  <cp:lastModifiedBy>Luisa Fernanda Rincon Perez</cp:lastModifiedBy>
  <cp:lastPrinted>2018-03-12T13:44:23Z</cp:lastPrinted>
  <dcterms:created xsi:type="dcterms:W3CDTF">2017-10-11T02:54:31Z</dcterms:created>
  <dcterms:modified xsi:type="dcterms:W3CDTF">2018-08-13T19:55:05Z</dcterms:modified>
</cp:coreProperties>
</file>